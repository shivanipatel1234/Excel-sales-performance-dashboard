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hidePivotFieldList="1" defaultThemeVersion="166925"/>
  <xr:revisionPtr revIDLastSave="0" documentId="8_{F1E0899D-8F65-4F7A-BAA1-DFAF6727B746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3" sheetId="3" r:id="rId1"/>
    <sheet name="Sheet5" sheetId="9" r:id="rId2"/>
    <sheet name="Sheet2" sheetId="2" r:id="rId3"/>
    <sheet name="Sheet4" sheetId="4" r:id="rId4"/>
    <sheet name="Sheet7" sheetId="7" r:id="rId5"/>
    <sheet name="Sheet8" sheetId="8" r:id="rId6"/>
    <sheet name="Sheet1" sheetId="1" r:id="rId7"/>
  </sheets>
  <calcPr calcId="191028"/>
  <pivotCaches>
    <pivotCache cacheId="12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9" l="1"/>
  <c r="L6" i="9"/>
  <c r="H6" i="9"/>
  <c r="J6" i="9" s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J56" i="1"/>
  <c r="I56" i="1"/>
  <c r="N56" i="1" s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M6" i="1" l="1"/>
  <c r="L56" i="1"/>
  <c r="M56" i="1" s="1"/>
  <c r="C57" i="1"/>
</calcChain>
</file>

<file path=xl/sharedStrings.xml><?xml version="1.0" encoding="utf-8"?>
<sst xmlns="http://schemas.openxmlformats.org/spreadsheetml/2006/main" count="362" uniqueCount="116">
  <si>
    <t>Product</t>
  </si>
  <si>
    <t>Sum of PROFIT</t>
  </si>
  <si>
    <t>Laptop</t>
  </si>
  <si>
    <t>Monitor</t>
  </si>
  <si>
    <t>Office Chair</t>
  </si>
  <si>
    <t>Desk</t>
  </si>
  <si>
    <t>Keyboard</t>
  </si>
  <si>
    <t>Mouse</t>
  </si>
  <si>
    <t>Grand Total</t>
  </si>
  <si>
    <t>SALES DASHBOARD</t>
  </si>
  <si>
    <t>TOTAL SALES</t>
  </si>
  <si>
    <t>TOTAL ORDERS</t>
  </si>
  <si>
    <t>TOTAL PROFIT</t>
  </si>
  <si>
    <t>PROFIT MARGIN</t>
  </si>
  <si>
    <t>AOV</t>
  </si>
  <si>
    <t>SALES BY PRODUCT</t>
  </si>
  <si>
    <t>PROFIT BY PRODUCT</t>
  </si>
  <si>
    <t>BUSINESS INSIGHTS</t>
  </si>
  <si>
    <t xml:space="preserve">1.Laptop is producing highest sales and Profit </t>
  </si>
  <si>
    <t xml:space="preserve">2. Mouse is producing least sales . It needs further investigation </t>
  </si>
  <si>
    <t>3. Laptop,monitor and office chair are top three products by sales and products</t>
  </si>
  <si>
    <t>Region</t>
  </si>
  <si>
    <t>Values</t>
  </si>
  <si>
    <t>East</t>
  </si>
  <si>
    <t>North</t>
  </si>
  <si>
    <t>South</t>
  </si>
  <si>
    <t>West</t>
  </si>
  <si>
    <t>Total Sum of Sales</t>
  </si>
  <si>
    <t>Total Sum of PROFIT</t>
  </si>
  <si>
    <t>Sum of Sales</t>
  </si>
  <si>
    <t>MONTH</t>
  </si>
  <si>
    <t>Jan</t>
  </si>
  <si>
    <t>Feb</t>
  </si>
  <si>
    <t>Mar</t>
  </si>
  <si>
    <t>Apr</t>
  </si>
  <si>
    <t>May</t>
  </si>
  <si>
    <t>MINI PROJECT</t>
  </si>
  <si>
    <t>Order ID</t>
  </si>
  <si>
    <t>Order Date</t>
  </si>
  <si>
    <t>Customer</t>
  </si>
  <si>
    <t>City</t>
  </si>
  <si>
    <t>Category</t>
  </si>
  <si>
    <t>Quantity</t>
  </si>
  <si>
    <t>Sales</t>
  </si>
  <si>
    <t>Cost</t>
  </si>
  <si>
    <t>Shipping Cost</t>
  </si>
  <si>
    <t>PROFIT</t>
  </si>
  <si>
    <t>ORD001</t>
  </si>
  <si>
    <t>Rahul</t>
  </si>
  <si>
    <t>Delhi</t>
  </si>
  <si>
    <t>Electronics</t>
  </si>
  <si>
    <t>ORD002</t>
  </si>
  <si>
    <t>Priya</t>
  </si>
  <si>
    <t>Chennai</t>
  </si>
  <si>
    <t>Furniture</t>
  </si>
  <si>
    <t>ORD003</t>
  </si>
  <si>
    <t>Arjun</t>
  </si>
  <si>
    <t>Mumbai</t>
  </si>
  <si>
    <t>ORD004</t>
  </si>
  <si>
    <t>Sneha</t>
  </si>
  <si>
    <t>Hyderabad</t>
  </si>
  <si>
    <t>ORD005</t>
  </si>
  <si>
    <t>Kiran</t>
  </si>
  <si>
    <t>ORD006</t>
  </si>
  <si>
    <t>Meena</t>
  </si>
  <si>
    <t>Pune</t>
  </si>
  <si>
    <t>ORD007</t>
  </si>
  <si>
    <t>Ravi</t>
  </si>
  <si>
    <t>ORD008</t>
  </si>
  <si>
    <t>Anjali</t>
  </si>
  <si>
    <t>Kolkata</t>
  </si>
  <si>
    <t>ORD009</t>
  </si>
  <si>
    <t>Vikram</t>
  </si>
  <si>
    <t>ORD010</t>
  </si>
  <si>
    <t>Pooja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</si>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</sst>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5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6" fontId="0" fillId="0" borderId="0" xfId="0" applyNumberFormat="1"/>
    <xf numFmtId="0" fontId="1" fillId="0" borderId="0" xfId="0" applyFont="1" applyAlignment="1">
      <alignment horizontal="center"/>
    </xf>
    <xf numFmtId="15" fontId="0" fillId="0" borderId="0" xfId="0" applyNumberFormat="1"/>
    <xf numFmtId="0" fontId="0" fillId="0" borderId="0" xfId="0" applyNumberFormat="1"/>
    <xf numFmtId="2" fontId="0" fillId="0" borderId="0" xfId="0" applyNumberFormat="1"/>
    <xf numFmtId="0" fontId="0" fillId="0" borderId="0" xfId="0" pivotButton="1"/>
    <xf numFmtId="16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6" borderId="2" xfId="0" applyFont="1" applyFill="1" applyBorder="1"/>
    <xf numFmtId="0" fontId="2" fillId="6" borderId="3" xfId="0" applyFont="1" applyFill="1" applyBorder="1"/>
    <xf numFmtId="0" fontId="0" fillId="6" borderId="3" xfId="0" applyFill="1" applyBorder="1"/>
    <xf numFmtId="0" fontId="0" fillId="6" borderId="4" xfId="0" applyFill="1" applyBorder="1"/>
    <xf numFmtId="0" fontId="2" fillId="6" borderId="5" xfId="0" applyFont="1" applyFill="1" applyBorder="1"/>
    <xf numFmtId="0" fontId="2" fillId="6" borderId="0" xfId="0" applyFont="1" applyFill="1" applyBorder="1"/>
    <xf numFmtId="0" fontId="0" fillId="6" borderId="0" xfId="0" applyFill="1" applyBorder="1"/>
    <xf numFmtId="0" fontId="0" fillId="6" borderId="6" xfId="0" applyFill="1" applyBorder="1"/>
    <xf numFmtId="0" fontId="2" fillId="6" borderId="7" xfId="0" applyFont="1" applyFill="1" applyBorder="1"/>
    <xf numFmtId="0" fontId="2" fillId="6" borderId="8" xfId="0" applyFont="1" applyFill="1" applyBorder="1"/>
    <xf numFmtId="0" fontId="0" fillId="6" borderId="8" xfId="0" applyFill="1" applyBorder="1"/>
    <xf numFmtId="0" fontId="0" fillId="6" borderId="9" xfId="0" applyFill="1" applyBorder="1"/>
    <xf numFmtId="0" fontId="2" fillId="5" borderId="8" xfId="0" applyFont="1" applyFill="1" applyBorder="1" applyAlignment="1">
      <alignment horizontal="center"/>
    </xf>
  </cellXfs>
  <cellStyles count="1">
    <cellStyle name="Normal" xfId="0" builtinId="0"/>
  </cellStyles>
  <dxfs count="8">
    <dxf>
      <numFmt numFmtId="164" formatCode="[$-409]mmmm\-yy;@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0" formatCode="d\-mmm\-yy"/>
    </dxf>
    <dxf>
      <numFmt numFmtId="20" formatCode="d\-mmm\-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Sheet3!$A$4:$A$10</c:f>
              <c:strCache>
                <c:ptCount val="6"/>
                <c:pt idx="0">
                  <c:v>Laptop</c:v>
                </c:pt>
                <c:pt idx="1">
                  <c:v>Monitor</c:v>
                </c:pt>
                <c:pt idx="2">
                  <c:v>Office Chair</c:v>
                </c:pt>
                <c:pt idx="3">
                  <c:v>Desk</c:v>
                </c:pt>
                <c:pt idx="4">
                  <c:v>Keyboard</c:v>
                </c:pt>
                <c:pt idx="5">
                  <c:v>Mouse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286000</c:v>
                </c:pt>
                <c:pt idx="1">
                  <c:v>175500</c:v>
                </c:pt>
                <c:pt idx="2">
                  <c:v>168000</c:v>
                </c:pt>
                <c:pt idx="3">
                  <c:v>124000</c:v>
                </c:pt>
                <c:pt idx="4">
                  <c:v>89000</c:v>
                </c:pt>
                <c:pt idx="5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6-4E73-A081-A173E1309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4154759"/>
        <c:axId val="1011706375"/>
      </c:barChart>
      <c:catAx>
        <c:axId val="894154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706375"/>
        <c:crosses val="autoZero"/>
        <c:auto val="1"/>
        <c:lblAlgn val="ctr"/>
        <c:lblOffset val="100"/>
        <c:noMultiLvlLbl val="0"/>
      </c:catAx>
      <c:valAx>
        <c:axId val="1011706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154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1.xlsx]Sheet3!PivotTable2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Sheet3!$A$4:$A$10</c:f>
              <c:strCache>
                <c:ptCount val="6"/>
                <c:pt idx="0">
                  <c:v>Laptop</c:v>
                </c:pt>
                <c:pt idx="1">
                  <c:v>Monitor</c:v>
                </c:pt>
                <c:pt idx="2">
                  <c:v>Office Chair</c:v>
                </c:pt>
                <c:pt idx="3">
                  <c:v>Desk</c:v>
                </c:pt>
                <c:pt idx="4">
                  <c:v>Keyboard</c:v>
                </c:pt>
                <c:pt idx="5">
                  <c:v>Mouse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286000</c:v>
                </c:pt>
                <c:pt idx="1">
                  <c:v>175500</c:v>
                </c:pt>
                <c:pt idx="2">
                  <c:v>168000</c:v>
                </c:pt>
                <c:pt idx="3">
                  <c:v>124000</c:v>
                </c:pt>
                <c:pt idx="4">
                  <c:v>89000</c:v>
                </c:pt>
                <c:pt idx="5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8-4861-8F5F-A5C7B85B7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4154759"/>
        <c:axId val="1011706375"/>
      </c:barChart>
      <c:catAx>
        <c:axId val="894154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706375"/>
        <c:crosses val="autoZero"/>
        <c:auto val="1"/>
        <c:lblAlgn val="ctr"/>
        <c:lblOffset val="100"/>
        <c:noMultiLvlLbl val="0"/>
      </c:catAx>
      <c:valAx>
        <c:axId val="1011706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154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1.xlsx]Sheet3!PivotTable2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Sheet3!$A$4:$A$10</c:f>
              <c:strCache>
                <c:ptCount val="6"/>
                <c:pt idx="0">
                  <c:v>Laptop</c:v>
                </c:pt>
                <c:pt idx="1">
                  <c:v>Monitor</c:v>
                </c:pt>
                <c:pt idx="2">
                  <c:v>Office Chair</c:v>
                </c:pt>
                <c:pt idx="3">
                  <c:v>Desk</c:v>
                </c:pt>
                <c:pt idx="4">
                  <c:v>Keyboard</c:v>
                </c:pt>
                <c:pt idx="5">
                  <c:v>Mouse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286000</c:v>
                </c:pt>
                <c:pt idx="1">
                  <c:v>175500</c:v>
                </c:pt>
                <c:pt idx="2">
                  <c:v>168000</c:v>
                </c:pt>
                <c:pt idx="3">
                  <c:v>124000</c:v>
                </c:pt>
                <c:pt idx="4">
                  <c:v>89000</c:v>
                </c:pt>
                <c:pt idx="5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8-470A-B7A0-C73BADA62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4154759"/>
        <c:axId val="1011706375"/>
      </c:barChart>
      <c:catAx>
        <c:axId val="894154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706375"/>
        <c:crosses val="autoZero"/>
        <c:auto val="1"/>
        <c:lblAlgn val="ctr"/>
        <c:lblOffset val="100"/>
        <c:noMultiLvlLbl val="0"/>
      </c:catAx>
      <c:valAx>
        <c:axId val="1011706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154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1.xlsx]Sheet3!PivotTable2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Sheet3!$A$4:$A$10</c:f>
              <c:strCache>
                <c:ptCount val="6"/>
                <c:pt idx="0">
                  <c:v>Laptop</c:v>
                </c:pt>
                <c:pt idx="1">
                  <c:v>Monitor</c:v>
                </c:pt>
                <c:pt idx="2">
                  <c:v>Office Chair</c:v>
                </c:pt>
                <c:pt idx="3">
                  <c:v>Desk</c:v>
                </c:pt>
                <c:pt idx="4">
                  <c:v>Keyboard</c:v>
                </c:pt>
                <c:pt idx="5">
                  <c:v>Mouse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286000</c:v>
                </c:pt>
                <c:pt idx="1">
                  <c:v>175500</c:v>
                </c:pt>
                <c:pt idx="2">
                  <c:v>168000</c:v>
                </c:pt>
                <c:pt idx="3">
                  <c:v>124000</c:v>
                </c:pt>
                <c:pt idx="4">
                  <c:v>89000</c:v>
                </c:pt>
                <c:pt idx="5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1-4FE9-AE02-74F4AF229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4154759"/>
        <c:axId val="1011706375"/>
      </c:barChart>
      <c:catAx>
        <c:axId val="894154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706375"/>
        <c:crosses val="autoZero"/>
        <c:auto val="1"/>
        <c:lblAlgn val="ctr"/>
        <c:lblOffset val="100"/>
        <c:noMultiLvlLbl val="0"/>
      </c:catAx>
      <c:valAx>
        <c:axId val="1011706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154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1.xlsx]Sheet7!PivotTable6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Sheet7!$B$4:$B$9</c:f>
              <c:numCache>
                <c:formatCode>General</c:formatCode>
                <c:ptCount val="5"/>
                <c:pt idx="0">
                  <c:v>639000</c:v>
                </c:pt>
                <c:pt idx="1">
                  <c:v>412000</c:v>
                </c:pt>
                <c:pt idx="2">
                  <c:v>682500</c:v>
                </c:pt>
                <c:pt idx="3">
                  <c:v>608000</c:v>
                </c:pt>
                <c:pt idx="4">
                  <c:v>564000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6-44B6-BB56-6178E72D0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1688455"/>
        <c:axId val="1011740679"/>
      </c:barChart>
      <c:catAx>
        <c:axId val="1011688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740679"/>
        <c:crosses val="autoZero"/>
        <c:auto val="1"/>
        <c:lblAlgn val="ctr"/>
        <c:lblOffset val="100"/>
        <c:noMultiLvlLbl val="0"/>
      </c:catAx>
      <c:valAx>
        <c:axId val="1011740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688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7</xdr:row>
      <xdr:rowOff>9525</xdr:rowOff>
    </xdr:from>
    <xdr:to>
      <xdr:col>5</xdr:col>
      <xdr:colOff>371475</xdr:colOff>
      <xdr:row>21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70D9FC-5CD5-E7EA-CF9F-E3E7A56FF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1552575</xdr:colOff>
      <xdr:row>0</xdr:row>
      <xdr:rowOff>-428625</xdr:rowOff>
    </xdr:from>
    <xdr:to>
      <xdr:col>0</xdr:col>
      <xdr:colOff>1552575</xdr:colOff>
      <xdr:row>0</xdr:row>
      <xdr:rowOff>-428625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EE7A25-FCBD-4060-B323-07F01480B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1781175</xdr:colOff>
      <xdr:row>9</xdr:row>
      <xdr:rowOff>180975</xdr:rowOff>
    </xdr:from>
    <xdr:to>
      <xdr:col>7</xdr:col>
      <xdr:colOff>523875</xdr:colOff>
      <xdr:row>23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E3320B-F8FD-494B-9FAA-F3B927306348}"/>
            </a:ext>
            <a:ext uri="{147F2762-F138-4A5C-976F-8EAC2B608ADB}">
              <a16:predDERef xmlns:a16="http://schemas.microsoft.com/office/drawing/2014/main" pred="{8EEE7A25-FCBD-4060-B323-07F01480B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161925</xdr:colOff>
      <xdr:row>9</xdr:row>
      <xdr:rowOff>200025</xdr:rowOff>
    </xdr:from>
    <xdr:to>
      <xdr:col>12</xdr:col>
      <xdr:colOff>704850</xdr:colOff>
      <xdr:row>23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C78D3C-49AB-4A39-BBBB-E88BA7B2E09D}"/>
            </a:ext>
            <a:ext uri="{147F2762-F138-4A5C-976F-8EAC2B608ADB}">
              <a16:predDERef xmlns:a16="http://schemas.microsoft.com/office/drawing/2014/main" pred="{51E3320B-F8FD-494B-9FAA-F3B9273063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95250</xdr:rowOff>
    </xdr:from>
    <xdr:to>
      <xdr:col>6</xdr:col>
      <xdr:colOff>171450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9AE200-C6B0-8F75-B880-64957DBA3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1.497525462961" createdVersion="8" refreshedVersion="8" minRefreshableVersion="3" recordCount="50" xr:uid="{27EEEC18-C95F-47CC-8D4B-5ED6489C2435}">
  <cacheSource type="worksheet">
    <worksheetSource name="Table1"/>
  </cacheSource>
  <cacheFields count="15">
    <cacheField name="Order ID" numFmtId="0">
      <sharedItems/>
    </cacheField>
    <cacheField name="Order Date" numFmtId="15">
      <sharedItems containsSemiMixedTypes="0" containsNonDate="0" containsDate="1" containsString="0" minDate="2026-01-05T00:00:00" maxDate="2026-05-27T00:00:00"/>
    </cacheField>
    <cacheField name="Customer" numFmtId="0">
      <sharedItems/>
    </cacheField>
    <cacheField name="Region" numFmtId="0">
      <sharedItems count="4">
        <s v="North"/>
        <s v="South"/>
        <s v="West"/>
        <s v="East"/>
      </sharedItems>
    </cacheField>
    <cacheField name="City" numFmtId="0">
      <sharedItems/>
    </cacheField>
    <cacheField name="Product" numFmtId="0">
      <sharedItems count="6">
        <s v="Laptop"/>
        <s v="Office Chair"/>
        <s v="Keyboard"/>
        <s v="Desk"/>
        <s v="Monitor"/>
        <s v="Mouse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30"/>
    </cacheField>
    <cacheField name="Sales" numFmtId="0">
      <sharedItems containsSemiMixedTypes="0" containsString="0" containsNumber="1" containsInteger="1" minValue="15000" maxValue="195000"/>
    </cacheField>
    <cacheField name="Cost" numFmtId="0">
      <sharedItems containsSemiMixedTypes="0" containsString="0" containsNumber="1" containsInteger="1" minValue="7500" maxValue="144000"/>
    </cacheField>
    <cacheField name="Shipping Cost" numFmtId="0">
      <sharedItems containsSemiMixedTypes="0" containsString="0" containsNumber="1" containsInteger="1" minValue="500" maxValue="4500"/>
    </cacheField>
    <cacheField name="PROFIT" numFmtId="0">
      <sharedItems containsSemiMixedTypes="0" containsString="0" containsNumber="1" containsInteger="1" minValue="7500" maxValue="51000"/>
    </cacheField>
    <cacheField name="PROFIT MARGIN" numFmtId="0">
      <sharedItems containsSemiMixedTypes="0" containsString="0" containsNumber="1" minValue="25" maxValue="50"/>
    </cacheField>
    <cacheField name="AOV" numFmtId="0">
      <sharedItems containsSemiMixedTypes="0" containsString="0" containsNumber="1" containsInteger="1" minValue="1000" maxValue="68000"/>
    </cacheField>
    <cacheField name="MONTH" numFmtId="164">
      <sharedItems count="5">
        <s v="Jan"/>
        <s v="Feb"/>
        <s v="Mar"/>
        <s v="Apr"/>
        <s v="May"/>
      </sharedItems>
    </cacheField>
  </cacheFields>
  <extLst>
    <ext xmlns:x14="http://schemas.microsoft.com/office/spreadsheetml/2009/9/main" uri="{725AE2AE-9491-48be-B2B4-4EB974FC3084}">
      <x14:pivotCacheDefinition pivotCacheId="16557351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ORD001"/>
    <d v="2026-01-05T00:00:00"/>
    <s v="Rahul"/>
    <x v="0"/>
    <s v="Delhi"/>
    <x v="0"/>
    <s v="Electronics"/>
    <n v="2"/>
    <n v="120000"/>
    <n v="90000"/>
    <n v="3000"/>
    <n v="30000"/>
    <n v="25"/>
    <n v="60000"/>
    <x v="0"/>
  </r>
  <r>
    <s v="ORD002"/>
    <d v="2026-01-06T00:00:00"/>
    <s v="Priya"/>
    <x v="1"/>
    <s v="Chennai"/>
    <x v="1"/>
    <s v="Furniture"/>
    <n v="5"/>
    <n v="45000"/>
    <n v="30000"/>
    <n v="1500"/>
    <n v="15000"/>
    <n v="33.333333333333329"/>
    <n v="9000"/>
    <x v="0"/>
  </r>
  <r>
    <s v="ORD003"/>
    <d v="2026-01-08T00:00:00"/>
    <s v="Arjun"/>
    <x v="2"/>
    <s v="Mumbai"/>
    <x v="2"/>
    <s v="Electronics"/>
    <n v="10"/>
    <n v="25000"/>
    <n v="15000"/>
    <n v="800"/>
    <n v="10000"/>
    <n v="40"/>
    <n v="2500"/>
    <x v="0"/>
  </r>
  <r>
    <s v="ORD004"/>
    <d v="2026-01-10T00:00:00"/>
    <s v="Sneha"/>
    <x v="1"/>
    <s v="Hyderabad"/>
    <x v="3"/>
    <s v="Furniture"/>
    <n v="3"/>
    <n v="36000"/>
    <n v="24000"/>
    <n v="1200"/>
    <n v="12000"/>
    <n v="33.333333333333329"/>
    <n v="12000"/>
    <x v="0"/>
  </r>
  <r>
    <s v="ORD005"/>
    <d v="2026-01-12T00:00:00"/>
    <s v="Kiran"/>
    <x v="0"/>
    <s v="Delhi"/>
    <x v="4"/>
    <s v="Electronics"/>
    <n v="4"/>
    <n v="60000"/>
    <n v="42000"/>
    <n v="2000"/>
    <n v="18000"/>
    <n v="30"/>
    <n v="15000"/>
    <x v="0"/>
  </r>
  <r>
    <s v="ORD006"/>
    <d v="2026-01-15T00:00:00"/>
    <s v="Meena"/>
    <x v="2"/>
    <s v="Pune"/>
    <x v="5"/>
    <s v="Electronics"/>
    <n v="15"/>
    <n v="15000"/>
    <n v="7500"/>
    <n v="500"/>
    <n v="7500"/>
    <n v="50"/>
    <n v="1000"/>
    <x v="0"/>
  </r>
  <r>
    <s v="ORD007"/>
    <d v="2026-01-18T00:00:00"/>
    <s v="Ravi"/>
    <x v="1"/>
    <s v="Chennai"/>
    <x v="0"/>
    <s v="Electronics"/>
    <n v="1"/>
    <n v="65000"/>
    <n v="48000"/>
    <n v="1800"/>
    <n v="17000"/>
    <n v="26.153846153846157"/>
    <n v="65000"/>
    <x v="0"/>
  </r>
  <r>
    <s v="ORD008"/>
    <d v="2026-01-20T00:00:00"/>
    <s v="Anjali"/>
    <x v="3"/>
    <s v="Kolkata"/>
    <x v="1"/>
    <s v="Furniture"/>
    <n v="6"/>
    <n v="54000"/>
    <n v="36000"/>
    <n v="1800"/>
    <n v="18000"/>
    <n v="33.333333333333329"/>
    <n v="9000"/>
    <x v="0"/>
  </r>
  <r>
    <s v="ORD009"/>
    <d v="2026-01-22T00:00:00"/>
    <s v="Vikram"/>
    <x v="2"/>
    <s v="Mumbai"/>
    <x v="3"/>
    <s v="Furniture"/>
    <n v="2"/>
    <n v="24000"/>
    <n v="16000"/>
    <n v="900"/>
    <n v="8000"/>
    <n v="33.333333333333329"/>
    <n v="12000"/>
    <x v="0"/>
  </r>
  <r>
    <s v="ORD010"/>
    <d v="2026-01-25T00:00:00"/>
    <s v="Pooja"/>
    <x v="0"/>
    <s v="Delhi"/>
    <x v="2"/>
    <s v="Electronics"/>
    <n v="8"/>
    <n v="20000"/>
    <n v="12000"/>
    <n v="700"/>
    <n v="8000"/>
    <n v="40"/>
    <n v="2500"/>
    <x v="0"/>
  </r>
  <r>
    <s v="ORD011"/>
    <d v="2026-01-28T00:00:00"/>
    <s v="Rahul"/>
    <x v="1"/>
    <s v="Hyderabad"/>
    <x v="4"/>
    <s v="Electronics"/>
    <n v="3"/>
    <n v="45000"/>
    <n v="31500"/>
    <n v="1500"/>
    <n v="13500"/>
    <n v="30"/>
    <n v="15000"/>
    <x v="0"/>
  </r>
  <r>
    <s v="ORD012"/>
    <d v="2026-01-30T00:00:00"/>
    <s v="Priya"/>
    <x v="3"/>
    <s v="Kolkata"/>
    <x v="0"/>
    <s v="Electronics"/>
    <n v="2"/>
    <n v="130000"/>
    <n v="96000"/>
    <n v="3500"/>
    <n v="34000"/>
    <n v="26.153846153846157"/>
    <n v="65000"/>
    <x v="0"/>
  </r>
  <r>
    <s v="ORD013"/>
    <d v="2026-02-02T00:00:00"/>
    <s v="Arjun"/>
    <x v="2"/>
    <s v="Pune"/>
    <x v="1"/>
    <s v="Furniture"/>
    <n v="4"/>
    <n v="36000"/>
    <n v="24000"/>
    <n v="1200"/>
    <n v="12000"/>
    <n v="33.333333333333329"/>
    <n v="9000"/>
    <x v="1"/>
  </r>
  <r>
    <s v="ORD014"/>
    <d v="2026-02-05T00:00:00"/>
    <s v="Sneha"/>
    <x v="0"/>
    <s v="Delhi"/>
    <x v="3"/>
    <s v="Furniture"/>
    <n v="5"/>
    <n v="60000"/>
    <n v="40000"/>
    <n v="2000"/>
    <n v="20000"/>
    <n v="33.333333333333329"/>
    <n v="12000"/>
    <x v="1"/>
  </r>
  <r>
    <s v="ORD015"/>
    <d v="2026-02-08T00:00:00"/>
    <s v="Kiran"/>
    <x v="1"/>
    <s v="Chennai"/>
    <x v="5"/>
    <s v="Electronics"/>
    <n v="20"/>
    <n v="20000"/>
    <n v="10000"/>
    <n v="600"/>
    <n v="10000"/>
    <n v="50"/>
    <n v="1000"/>
    <x v="1"/>
  </r>
  <r>
    <s v="ORD016"/>
    <d v="2026-02-11T00:00:00"/>
    <s v="Meena"/>
    <x v="2"/>
    <s v="Mumbai"/>
    <x v="0"/>
    <s v="Electronics"/>
    <n v="1"/>
    <n v="62000"/>
    <n v="46000"/>
    <n v="1700"/>
    <n v="16000"/>
    <n v="25.806451612903224"/>
    <n v="62000"/>
    <x v="1"/>
  </r>
  <r>
    <s v="ORD017"/>
    <d v="2026-02-14T00:00:00"/>
    <s v="Ravi"/>
    <x v="3"/>
    <s v="Kolkata"/>
    <x v="4"/>
    <s v="Electronics"/>
    <n v="5"/>
    <n v="75000"/>
    <n v="52500"/>
    <n v="2200"/>
    <n v="22500"/>
    <n v="30"/>
    <n v="15000"/>
    <x v="1"/>
  </r>
  <r>
    <s v="ORD018"/>
    <d v="2026-02-17T00:00:00"/>
    <s v="Anjali"/>
    <x v="1"/>
    <s v="Hyderabad"/>
    <x v="2"/>
    <s v="Electronics"/>
    <n v="12"/>
    <n v="30000"/>
    <n v="18000"/>
    <n v="900"/>
    <n v="12000"/>
    <n v="40"/>
    <n v="2500"/>
    <x v="1"/>
  </r>
  <r>
    <s v="ORD019"/>
    <d v="2026-02-20T00:00:00"/>
    <s v="Vikram"/>
    <x v="0"/>
    <s v="Delhi"/>
    <x v="1"/>
    <s v="Furniture"/>
    <n v="7"/>
    <n v="63000"/>
    <n v="42000"/>
    <n v="2100"/>
    <n v="21000"/>
    <n v="33.333333333333329"/>
    <n v="9000"/>
    <x v="1"/>
  </r>
  <r>
    <s v="ORD020"/>
    <d v="2026-02-23T00:00:00"/>
    <s v="Pooja"/>
    <x v="2"/>
    <s v="Pune"/>
    <x v="3"/>
    <s v="Furniture"/>
    <n v="3"/>
    <n v="36000"/>
    <n v="24000"/>
    <n v="1200"/>
    <n v="12000"/>
    <n v="33.333333333333329"/>
    <n v="12000"/>
    <x v="1"/>
  </r>
  <r>
    <s v="ORD021"/>
    <d v="2026-02-26T00:00:00"/>
    <s v="Rahul"/>
    <x v="1"/>
    <s v="Chennai"/>
    <x v="4"/>
    <s v="Electronics"/>
    <n v="2"/>
    <n v="30000"/>
    <n v="21000"/>
    <n v="1000"/>
    <n v="9000"/>
    <n v="30"/>
    <n v="15000"/>
    <x v="1"/>
  </r>
  <r>
    <s v="ORD022"/>
    <d v="2026-03-01T00:00:00"/>
    <s v="Priya"/>
    <x v="3"/>
    <s v="Kolkata"/>
    <x v="0"/>
    <s v="Electronics"/>
    <n v="3"/>
    <n v="195000"/>
    <n v="144000"/>
    <n v="4500"/>
    <n v="51000"/>
    <n v="26.153846153846157"/>
    <n v="65000"/>
    <x v="2"/>
  </r>
  <r>
    <s v="ORD023"/>
    <d v="2026-03-04T00:00:00"/>
    <s v="Arjun"/>
    <x v="0"/>
    <s v="Delhi"/>
    <x v="5"/>
    <s v="Electronics"/>
    <n v="25"/>
    <n v="25000"/>
    <n v="12500"/>
    <n v="700"/>
    <n v="12500"/>
    <n v="50"/>
    <n v="1000"/>
    <x v="2"/>
  </r>
  <r>
    <s v="ORD024"/>
    <d v="2026-03-07T00:00:00"/>
    <s v="Sneha"/>
    <x v="2"/>
    <s v="Mumbai"/>
    <x v="1"/>
    <s v="Furniture"/>
    <n v="5"/>
    <n v="45000"/>
    <n v="30000"/>
    <n v="1500"/>
    <n v="15000"/>
    <n v="33.333333333333329"/>
    <n v="9000"/>
    <x v="2"/>
  </r>
  <r>
    <s v="ORD025"/>
    <d v="2026-03-10T00:00:00"/>
    <s v="Kiran"/>
    <x v="1"/>
    <s v="Hyderabad"/>
    <x v="3"/>
    <s v="Furniture"/>
    <n v="4"/>
    <n v="48000"/>
    <n v="32000"/>
    <n v="1600"/>
    <n v="16000"/>
    <n v="33.333333333333329"/>
    <n v="12000"/>
    <x v="2"/>
  </r>
  <r>
    <s v="ORD026"/>
    <d v="2026-03-13T00:00:00"/>
    <s v="Meena"/>
    <x v="3"/>
    <s v="Kolkata"/>
    <x v="2"/>
    <s v="Electronics"/>
    <n v="15"/>
    <n v="37500"/>
    <n v="22500"/>
    <n v="1100"/>
    <n v="15000"/>
    <n v="40"/>
    <n v="2500"/>
    <x v="2"/>
  </r>
  <r>
    <s v="ORD027"/>
    <d v="2026-03-16T00:00:00"/>
    <s v="Ravi"/>
    <x v="0"/>
    <s v="Delhi"/>
    <x v="4"/>
    <s v="Electronics"/>
    <n v="6"/>
    <n v="90000"/>
    <n v="63000"/>
    <n v="2500"/>
    <n v="27000"/>
    <n v="30"/>
    <n v="15000"/>
    <x v="2"/>
  </r>
  <r>
    <s v="ORD028"/>
    <d v="2026-03-19T00:00:00"/>
    <s v="Anjali"/>
    <x v="2"/>
    <s v="Pune"/>
    <x v="0"/>
    <s v="Electronics"/>
    <n v="2"/>
    <n v="128000"/>
    <n v="94000"/>
    <n v="3500"/>
    <n v="34000"/>
    <n v="26.5625"/>
    <n v="64000"/>
    <x v="2"/>
  </r>
  <r>
    <s v="ORD029"/>
    <d v="2026-03-22T00:00:00"/>
    <s v="Vikram"/>
    <x v="1"/>
    <s v="Chennai"/>
    <x v="1"/>
    <s v="Furniture"/>
    <n v="8"/>
    <n v="72000"/>
    <n v="48000"/>
    <n v="2400"/>
    <n v="24000"/>
    <n v="33.333333333333329"/>
    <n v="9000"/>
    <x v="2"/>
  </r>
  <r>
    <s v="ORD030"/>
    <d v="2026-03-25T00:00:00"/>
    <s v="Pooja"/>
    <x v="3"/>
    <s v="Kolkata"/>
    <x v="3"/>
    <s v="Furniture"/>
    <n v="2"/>
    <n v="24000"/>
    <n v="16000"/>
    <n v="900"/>
    <n v="8000"/>
    <n v="33.333333333333329"/>
    <n v="12000"/>
    <x v="2"/>
  </r>
  <r>
    <s v="ORD031"/>
    <d v="2026-03-28T00:00:00"/>
    <s v="Rahul"/>
    <x v="2"/>
    <s v="Mumbai"/>
    <x v="5"/>
    <s v="Electronics"/>
    <n v="18"/>
    <n v="18000"/>
    <n v="9000"/>
    <n v="600"/>
    <n v="9000"/>
    <n v="50"/>
    <n v="1000"/>
    <x v="2"/>
  </r>
  <r>
    <s v="ORD032"/>
    <d v="2026-04-02T00:00:00"/>
    <s v="Priya"/>
    <x v="0"/>
    <s v="Delhi"/>
    <x v="0"/>
    <s v="Electronics"/>
    <n v="1"/>
    <n v="68000"/>
    <n v="50000"/>
    <n v="1900"/>
    <n v="18000"/>
    <n v="26.47058823529412"/>
    <n v="68000"/>
    <x v="3"/>
  </r>
  <r>
    <s v="ORD033"/>
    <d v="2026-04-05T00:00:00"/>
    <s v="Arjun"/>
    <x v="1"/>
    <s v="Hyderabad"/>
    <x v="4"/>
    <s v="Electronics"/>
    <n v="4"/>
    <n v="60000"/>
    <n v="42000"/>
    <n v="2000"/>
    <n v="18000"/>
    <n v="30"/>
    <n v="15000"/>
    <x v="3"/>
  </r>
  <r>
    <s v="ORD034"/>
    <d v="2026-04-08T00:00:00"/>
    <s v="Sneha"/>
    <x v="3"/>
    <s v="Kolkata"/>
    <x v="1"/>
    <s v="Furniture"/>
    <n v="6"/>
    <n v="54000"/>
    <n v="36000"/>
    <n v="1800"/>
    <n v="18000"/>
    <n v="33.333333333333329"/>
    <n v="9000"/>
    <x v="3"/>
  </r>
  <r>
    <s v="ORD035"/>
    <d v="2026-04-11T00:00:00"/>
    <s v="Kiran"/>
    <x v="2"/>
    <s v="Pune"/>
    <x v="3"/>
    <s v="Furniture"/>
    <n v="5"/>
    <n v="60000"/>
    <n v="40000"/>
    <n v="2000"/>
    <n v="20000"/>
    <n v="33.333333333333329"/>
    <n v="12000"/>
    <x v="3"/>
  </r>
  <r>
    <s v="ORD036"/>
    <d v="2026-04-14T00:00:00"/>
    <s v="Meena"/>
    <x v="1"/>
    <s v="Chennai"/>
    <x v="2"/>
    <s v="Electronics"/>
    <n v="20"/>
    <n v="50000"/>
    <n v="30000"/>
    <n v="1300"/>
    <n v="20000"/>
    <n v="40"/>
    <n v="2500"/>
    <x v="3"/>
  </r>
  <r>
    <s v="ORD037"/>
    <d v="2026-04-17T00:00:00"/>
    <s v="Ravi"/>
    <x v="0"/>
    <s v="Delhi"/>
    <x v="5"/>
    <s v="Electronics"/>
    <n v="30"/>
    <n v="30000"/>
    <n v="15000"/>
    <n v="900"/>
    <n v="15000"/>
    <n v="50"/>
    <n v="1000"/>
    <x v="3"/>
  </r>
  <r>
    <s v="ORD038"/>
    <d v="2026-04-20T00:00:00"/>
    <s v="Anjali"/>
    <x v="3"/>
    <s v="Kolkata"/>
    <x v="0"/>
    <s v="Electronics"/>
    <n v="1"/>
    <n v="64000"/>
    <n v="47000"/>
    <n v="1800"/>
    <n v="17000"/>
    <n v="26.5625"/>
    <n v="64000"/>
    <x v="3"/>
  </r>
  <r>
    <s v="ORD039"/>
    <d v="2026-04-23T00:00:00"/>
    <s v="Vikram"/>
    <x v="2"/>
    <s v="Mumbai"/>
    <x v="4"/>
    <s v="Electronics"/>
    <n v="7"/>
    <n v="105000"/>
    <n v="73500"/>
    <n v="2800"/>
    <n v="31500"/>
    <n v="30"/>
    <n v="15000"/>
    <x v="3"/>
  </r>
  <r>
    <s v="ORD040"/>
    <d v="2026-04-26T00:00:00"/>
    <s v="Pooja"/>
    <x v="1"/>
    <s v="Hyderabad"/>
    <x v="1"/>
    <s v="Furniture"/>
    <n v="9"/>
    <n v="81000"/>
    <n v="54000"/>
    <n v="2700"/>
    <n v="27000"/>
    <n v="33.333333333333329"/>
    <n v="9000"/>
    <x v="3"/>
  </r>
  <r>
    <s v="ORD041"/>
    <d v="2026-04-29T00:00:00"/>
    <s v="Rahul"/>
    <x v="0"/>
    <s v="Delhi"/>
    <x v="3"/>
    <s v="Furniture"/>
    <n v="3"/>
    <n v="36000"/>
    <n v="24000"/>
    <n v="1200"/>
    <n v="12000"/>
    <n v="33.333333333333329"/>
    <n v="12000"/>
    <x v="3"/>
  </r>
  <r>
    <s v="ORD042"/>
    <d v="2026-05-02T00:00:00"/>
    <s v="Priya"/>
    <x v="1"/>
    <s v="Chennai"/>
    <x v="0"/>
    <s v="Electronics"/>
    <n v="2"/>
    <n v="132000"/>
    <n v="97000"/>
    <n v="3600"/>
    <n v="35000"/>
    <n v="26.515151515151516"/>
    <n v="66000"/>
    <x v="4"/>
  </r>
  <r>
    <s v="ORD043"/>
    <d v="2026-05-05T00:00:00"/>
    <s v="Arjun"/>
    <x v="2"/>
    <s v="Pune"/>
    <x v="5"/>
    <s v="Electronics"/>
    <n v="22"/>
    <n v="22000"/>
    <n v="11000"/>
    <n v="700"/>
    <n v="11000"/>
    <n v="50"/>
    <n v="1000"/>
    <x v="4"/>
  </r>
  <r>
    <s v="ORD044"/>
    <d v="2026-05-08T00:00:00"/>
    <s v="Sneha"/>
    <x v="3"/>
    <s v="Kolkata"/>
    <x v="2"/>
    <s v="Electronics"/>
    <n v="10"/>
    <n v="25000"/>
    <n v="15000"/>
    <n v="800"/>
    <n v="10000"/>
    <n v="40"/>
    <n v="2500"/>
    <x v="4"/>
  </r>
  <r>
    <s v="ORD045"/>
    <d v="2026-05-11T00:00:00"/>
    <s v="Kiran"/>
    <x v="0"/>
    <s v="Delhi"/>
    <x v="4"/>
    <s v="Electronics"/>
    <n v="5"/>
    <n v="75000"/>
    <n v="52500"/>
    <n v="2200"/>
    <n v="22500"/>
    <n v="30"/>
    <n v="15000"/>
    <x v="4"/>
  </r>
  <r>
    <s v="ORD046"/>
    <d v="2026-05-14T00:00:00"/>
    <s v="Meena"/>
    <x v="1"/>
    <s v="Hyderabad"/>
    <x v="3"/>
    <s v="Furniture"/>
    <n v="4"/>
    <n v="48000"/>
    <n v="32000"/>
    <n v="1600"/>
    <n v="16000"/>
    <n v="33.333333333333329"/>
    <n v="12000"/>
    <x v="4"/>
  </r>
  <r>
    <s v="ORD047"/>
    <d v="2026-05-17T00:00:00"/>
    <s v="Ravi"/>
    <x v="2"/>
    <s v="Mumbai"/>
    <x v="1"/>
    <s v="Furniture"/>
    <n v="6"/>
    <n v="54000"/>
    <n v="36000"/>
    <n v="1800"/>
    <n v="18000"/>
    <n v="33.333333333333329"/>
    <n v="9000"/>
    <x v="4"/>
  </r>
  <r>
    <s v="ORD048"/>
    <d v="2026-05-20T00:00:00"/>
    <s v="Anjali"/>
    <x v="3"/>
    <s v="Kolkata"/>
    <x v="0"/>
    <s v="Electronics"/>
    <n v="2"/>
    <n v="128000"/>
    <n v="94000"/>
    <n v="3500"/>
    <n v="34000"/>
    <n v="26.5625"/>
    <n v="64000"/>
    <x v="4"/>
  </r>
  <r>
    <s v="ORD049"/>
    <d v="2026-05-23T00:00:00"/>
    <s v="Vikram"/>
    <x v="0"/>
    <s v="Delhi"/>
    <x v="2"/>
    <s v="Electronics"/>
    <n v="14"/>
    <n v="35000"/>
    <n v="21000"/>
    <n v="1000"/>
    <n v="14000"/>
    <n v="40"/>
    <n v="2500"/>
    <x v="4"/>
  </r>
  <r>
    <s v="ORD050"/>
    <d v="2026-05-26T00:00:00"/>
    <s v="Pooja"/>
    <x v="1"/>
    <s v="Chennai"/>
    <x v="4"/>
    <s v="Electronics"/>
    <n v="3"/>
    <n v="45000"/>
    <n v="31500"/>
    <n v="1500"/>
    <n v="13500"/>
    <n v="30"/>
    <n v="150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6CB41-FC05-4442-B333-B25FC73B687E}" name="PivotTable2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9">
  <location ref="A3:B10" firstHeaderRow="1" firstDataRow="1" firstDataCol="1"/>
  <pivotFields count="15">
    <pivotField compact="0" outline="0" showAll="0"/>
    <pivotField compact="0" numFmtId="15" outline="0" showAll="0"/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axis="axisRow" compact="0" outline="0" showAll="0" sortType="descending">
      <items count="7">
        <item x="3"/>
        <item x="2"/>
        <item x="0"/>
        <item x="4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 v="2"/>
    </i>
    <i>
      <x v="3"/>
    </i>
    <i>
      <x v="5"/>
    </i>
    <i>
      <x/>
    </i>
    <i>
      <x v="1"/>
    </i>
    <i>
      <x v="4"/>
    </i>
    <i t="grand">
      <x/>
    </i>
  </rowItems>
  <colItems count="1">
    <i/>
  </colItems>
  <dataFields count="1">
    <dataField name="Sum of PROFIT" fld="11" baseField="0" baseItem="0"/>
  </dataFields>
  <chartFormats count="9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F351B-B11F-43BD-8745-2F6A23F7338F}" name="PivotTable1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J6" firstHeaderRow="1" firstDataRow="3" firstDataCol="0"/>
  <pivotFields count="15">
    <pivotField compact="0" outline="0" showAll="0"/>
    <pivotField compact="0" numFmtId="15" outline="0" showAll="0"/>
    <pivotField compact="0" outline="0" showAll="0"/>
    <pivotField axis="axisCol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2">
    <field x="3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Sales" fld="8" baseField="0" baseItem="0"/>
    <dataField name="Sum of PROFIT" fld="11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14199-BD2C-493F-AAAA-B94463E32B29}" name="PivotTable6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9" firstHeaderRow="1" firstDataRow="1" firstDataCol="1"/>
  <pivotFields count="15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8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AE882C-7830-4637-8044-A4579A269214}" name="Table1" displayName="Table1" ref="A5:O56" totalsRowCount="1">
  <autoFilter ref="A5:O55" xr:uid="{AAAE882C-7830-4637-8044-A4579A269214}"/>
  <tableColumns count="15">
    <tableColumn id="1" xr3:uid="{2FDF7D69-EFEC-4217-A96B-3B974818C3B5}" name="Order ID"/>
    <tableColumn id="2" xr3:uid="{8B88F5D9-D2E5-418A-A80B-8861B701FAB5}" name="Order Date" dataDxfId="6" totalsRowDxfId="7"/>
    <tableColumn id="3" xr3:uid="{6D96BD4F-B4E0-4A32-8A04-031078C6A3B1}" name="Customer"/>
    <tableColumn id="4" xr3:uid="{1CCBBC37-5198-468D-A7AE-32EB3EDB4BEB}" name="Region"/>
    <tableColumn id="5" xr3:uid="{120C14BF-7DBE-44BC-B528-B63F7D10D46A}" name="City"/>
    <tableColumn id="6" xr3:uid="{F15DCFD1-D902-46D6-B4EB-582AE66025EB}" name="Product"/>
    <tableColumn id="7" xr3:uid="{842C40DD-9F4D-4B6F-A221-9A10EAA3E87B}" name="Category"/>
    <tableColumn id="8" xr3:uid="{ECBCB656-3E1B-47C9-AF1B-79EF7B71771B}" name="Quantity"/>
    <tableColumn id="9" xr3:uid="{48CDE734-4A3F-48B5-B4D2-4095FBF8DFA6}" name="Sales" totalsRowFunction="custom">
      <totalsRowFormula>SUM(I6:I55)</totalsRowFormula>
    </tableColumn>
    <tableColumn id="10" xr3:uid="{0853AA65-5856-4217-A3A4-31D0839F7513}" name="Cost" totalsRowFunction="custom">
      <totalsRowFormula>SUM(J6:J55)</totalsRowFormula>
    </tableColumn>
    <tableColumn id="11" xr3:uid="{23CD50B6-AE57-48B6-BE3A-2B9EF23A5455}" name="Shipping Cost"/>
    <tableColumn id="12" xr3:uid="{3873B58D-9ADB-4E31-9DE3-0AC314CD27F2}" name="PROFIT" totalsRowFunction="custom" dataDxfId="4" totalsRowDxfId="5">
      <calculatedColumnFormula>Table1[[#This Row],[Sales]]-Table1[[#This Row],[Cost]]</calculatedColumnFormula>
      <totalsRowFormula>SUM(Table1[PROFIT])</totalsRowFormula>
    </tableColumn>
    <tableColumn id="13" xr3:uid="{56CD0BFB-5868-4627-AD8E-4F4D2580E458}" name="PROFIT MARGIN" totalsRowFunction="custom" dataDxfId="2" totalsRowDxfId="3">
      <calculatedColumnFormula>Table1[[#This Row],[PROFIT]]/Table1[[#This Row],[Sales]]*100</calculatedColumnFormula>
      <totalsRowFormula>(Table1[[#Totals],[PROFIT]]/Table1[[#Totals],[Sales]])*100</totalsRowFormula>
    </tableColumn>
    <tableColumn id="14" xr3:uid="{C733C52D-7447-4EA8-A505-E0126406C7F5}" name="AOV" totalsRowFunction="custom" dataDxfId="1">
      <calculatedColumnFormula>Table1[[#This Row],[Sales]]/Table1[[#This Row],[Quantity]]</calculatedColumnFormula>
      <totalsRowFormula>Table1[[#Totals],[Sales]]/50</totalsRowFormula>
    </tableColumn>
    <tableColumn id="15" xr3:uid="{A1682FE0-3D12-45AA-BEAA-32DEBE5D1B4F}" name="MONTH" dataDxfId="0">
      <calculatedColumnFormula>TEXT(Table1[[#This Row],[Order 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5F6F9-D643-4C3E-B87A-D0E280F71679}">
  <dimension ref="A3:B10"/>
  <sheetViews>
    <sheetView workbookViewId="0">
      <selection activeCell="C3" sqref="C3"/>
    </sheetView>
  </sheetViews>
  <sheetFormatPr defaultRowHeight="15"/>
  <cols>
    <col min="1" max="1" width="11.7109375" bestFit="1" customWidth="1"/>
    <col min="2" max="3" width="14.42578125" bestFit="1" customWidth="1"/>
    <col min="4" max="4" width="12.42578125" bestFit="1" customWidth="1"/>
  </cols>
  <sheetData>
    <row r="3" spans="1:2">
      <c r="A3" s="6" t="s">
        <v>0</v>
      </c>
      <c r="B3" t="s">
        <v>1</v>
      </c>
    </row>
    <row r="4" spans="1:2">
      <c r="A4" t="s">
        <v>2</v>
      </c>
      <c r="B4" s="4">
        <v>286000</v>
      </c>
    </row>
    <row r="5" spans="1:2">
      <c r="A5" t="s">
        <v>3</v>
      </c>
      <c r="B5" s="4">
        <v>175500</v>
      </c>
    </row>
    <row r="6" spans="1:2">
      <c r="A6" t="s">
        <v>4</v>
      </c>
      <c r="B6" s="4">
        <v>168000</v>
      </c>
    </row>
    <row r="7" spans="1:2">
      <c r="A7" t="s">
        <v>5</v>
      </c>
      <c r="B7" s="4">
        <v>124000</v>
      </c>
    </row>
    <row r="8" spans="1:2">
      <c r="A8" t="s">
        <v>6</v>
      </c>
      <c r="B8" s="4">
        <v>89000</v>
      </c>
    </row>
    <row r="9" spans="1:2">
      <c r="A9" t="s">
        <v>7</v>
      </c>
      <c r="B9" s="4">
        <v>65000</v>
      </c>
    </row>
    <row r="10" spans="1:2">
      <c r="A10" t="s">
        <v>8</v>
      </c>
      <c r="B10" s="4">
        <v>907500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1020-80C7-41A3-BF97-FCDA72A5E6BC}">
  <dimension ref="B1:U46"/>
  <sheetViews>
    <sheetView tabSelected="1" topLeftCell="D5" workbookViewId="0">
      <selection activeCell="M28" sqref="M28"/>
    </sheetView>
  </sheetViews>
  <sheetFormatPr defaultColWidth="28.140625" defaultRowHeight="15"/>
  <cols>
    <col min="5" max="5" width="10.140625" customWidth="1"/>
    <col min="7" max="7" width="10" customWidth="1"/>
    <col min="9" max="9" width="13.42578125" customWidth="1"/>
    <col min="11" max="11" width="11.85546875" customWidth="1"/>
  </cols>
  <sheetData>
    <row r="1" spans="2:21" ht="15" customHeight="1">
      <c r="B1" s="16" t="s">
        <v>9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0"/>
      <c r="P1" s="10"/>
      <c r="Q1" s="10"/>
      <c r="R1" s="10"/>
      <c r="S1" s="10"/>
      <c r="T1" s="10"/>
      <c r="U1" s="10"/>
    </row>
    <row r="2" spans="2:21" ht="15" customHeight="1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0"/>
      <c r="P2" s="10"/>
      <c r="Q2" s="10"/>
      <c r="R2" s="10"/>
      <c r="S2" s="10"/>
      <c r="T2" s="10"/>
      <c r="U2" s="10"/>
    </row>
    <row r="3" spans="2:21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2:21" ht="24" customHeight="1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2:21" ht="51.75" customHeight="1">
      <c r="D5" s="15" t="s">
        <v>10</v>
      </c>
      <c r="E5" s="9"/>
      <c r="F5" s="15" t="s">
        <v>11</v>
      </c>
      <c r="G5" s="9"/>
      <c r="H5" s="15" t="s">
        <v>12</v>
      </c>
      <c r="I5" s="9"/>
      <c r="J5" s="15" t="s">
        <v>13</v>
      </c>
      <c r="K5" s="9"/>
      <c r="L5" s="15" t="s">
        <v>14</v>
      </c>
    </row>
    <row r="6" spans="2:21" ht="26.25">
      <c r="D6" s="13">
        <f>SUM(Table1[Sales])</f>
        <v>2905500</v>
      </c>
      <c r="F6" s="13">
        <v>50</v>
      </c>
      <c r="G6" s="9"/>
      <c r="H6" s="13">
        <f>SUM(Table1[PROFIT])</f>
        <v>907500</v>
      </c>
      <c r="I6" s="9"/>
      <c r="J6" s="14">
        <f>H6/D6</f>
        <v>0.31233866804336602</v>
      </c>
      <c r="K6" s="9"/>
      <c r="L6" s="13">
        <f>D6/F6</f>
        <v>58110</v>
      </c>
    </row>
    <row r="9" spans="2:21" ht="26.25">
      <c r="D9" s="17" t="s">
        <v>15</v>
      </c>
      <c r="E9" s="17"/>
      <c r="F9" s="17"/>
      <c r="J9" s="17" t="s">
        <v>16</v>
      </c>
      <c r="K9" s="17"/>
      <c r="L9" s="17"/>
    </row>
    <row r="10" spans="2:21" ht="26.25">
      <c r="C10" s="8"/>
      <c r="D10" s="8"/>
    </row>
    <row r="26" spans="6:12" ht="26.25">
      <c r="F26" s="30" t="s">
        <v>17</v>
      </c>
      <c r="G26" s="30"/>
      <c r="H26" s="30"/>
      <c r="I26" s="30"/>
      <c r="J26" s="30"/>
      <c r="K26" s="30"/>
      <c r="L26" s="30"/>
    </row>
    <row r="27" spans="6:12" ht="26.25">
      <c r="F27" s="18" t="s">
        <v>18</v>
      </c>
      <c r="G27" s="19"/>
      <c r="H27" s="19"/>
      <c r="I27" s="19"/>
      <c r="J27" s="20"/>
      <c r="K27" s="20"/>
      <c r="L27" s="21"/>
    </row>
    <row r="28" spans="6:12" ht="26.25">
      <c r="F28" s="22" t="s">
        <v>19</v>
      </c>
      <c r="G28" s="23"/>
      <c r="H28" s="23"/>
      <c r="I28" s="23"/>
      <c r="J28" s="24"/>
      <c r="K28" s="24"/>
      <c r="L28" s="25"/>
    </row>
    <row r="29" spans="6:12" ht="26.25">
      <c r="F29" s="26" t="s">
        <v>20</v>
      </c>
      <c r="G29" s="27"/>
      <c r="H29" s="27"/>
      <c r="I29" s="27"/>
      <c r="J29" s="28"/>
      <c r="K29" s="28"/>
      <c r="L29" s="29"/>
    </row>
    <row r="41" spans="5:8" ht="26.25">
      <c r="F41" s="8"/>
      <c r="G41" s="8"/>
      <c r="H41" s="8"/>
    </row>
    <row r="42" spans="5:8" ht="12.75" customHeight="1">
      <c r="F42" s="11"/>
      <c r="G42" s="11"/>
      <c r="H42" s="11"/>
    </row>
    <row r="43" spans="5:8" ht="26.25">
      <c r="E43" s="9"/>
      <c r="F43" s="9"/>
      <c r="G43" s="9"/>
      <c r="H43" s="9"/>
    </row>
    <row r="44" spans="5:8" ht="26.25">
      <c r="E44" s="9"/>
      <c r="F44" s="9"/>
      <c r="G44" s="9"/>
      <c r="H44" s="9"/>
    </row>
    <row r="45" spans="5:8" ht="26.25">
      <c r="E45" s="9"/>
      <c r="F45" s="9"/>
      <c r="G45" s="9"/>
      <c r="H45" s="9"/>
    </row>
    <row r="46" spans="5:8" ht="26.25">
      <c r="E46" s="9"/>
      <c r="F46" s="9"/>
      <c r="G46" s="9"/>
      <c r="H46" s="9"/>
    </row>
  </sheetData>
  <mergeCells count="6">
    <mergeCell ref="B1:N3"/>
    <mergeCell ref="C10:D10"/>
    <mergeCell ref="D9:F9"/>
    <mergeCell ref="F41:H41"/>
    <mergeCell ref="F26:L26"/>
    <mergeCell ref="J9:L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81ED-9C07-4E46-8CA3-EF0539E0CA5B}">
  <dimension ref="A3:J6"/>
  <sheetViews>
    <sheetView workbookViewId="0">
      <selection activeCell="A3" sqref="A3:R6"/>
    </sheetView>
  </sheetViews>
  <sheetFormatPr defaultRowHeight="15"/>
  <cols>
    <col min="1" max="1" width="12.42578125" bestFit="1" customWidth="1"/>
    <col min="2" max="2" width="14.42578125" bestFit="1" customWidth="1"/>
    <col min="3" max="3" width="12.42578125" bestFit="1" customWidth="1"/>
    <col min="4" max="4" width="14.42578125" bestFit="1" customWidth="1"/>
    <col min="5" max="5" width="12.42578125" bestFit="1" customWidth="1"/>
    <col min="6" max="6" width="14.42578125" bestFit="1" customWidth="1"/>
    <col min="7" max="7" width="12.42578125" bestFit="1" customWidth="1"/>
    <col min="8" max="8" width="14.42578125" bestFit="1" customWidth="1"/>
    <col min="9" max="9" width="17.7109375" bestFit="1" customWidth="1"/>
    <col min="10" max="10" width="19.5703125" bestFit="1" customWidth="1"/>
  </cols>
  <sheetData>
    <row r="3" spans="1:10">
      <c r="A3" s="6" t="s">
        <v>21</v>
      </c>
      <c r="B3" s="6" t="s">
        <v>22</v>
      </c>
    </row>
    <row r="4" spans="1:10">
      <c r="A4" t="s">
        <v>23</v>
      </c>
      <c r="C4" t="s">
        <v>24</v>
      </c>
      <c r="E4" t="s">
        <v>25</v>
      </c>
      <c r="G4" t="s">
        <v>26</v>
      </c>
      <c r="I4" t="s">
        <v>27</v>
      </c>
      <c r="J4" t="s">
        <v>28</v>
      </c>
    </row>
    <row r="5" spans="1:10">
      <c r="A5" t="s">
        <v>29</v>
      </c>
      <c r="B5" t="s">
        <v>1</v>
      </c>
      <c r="C5" t="s">
        <v>29</v>
      </c>
      <c r="D5" t="s">
        <v>1</v>
      </c>
      <c r="E5" t="s">
        <v>29</v>
      </c>
      <c r="F5" t="s">
        <v>1</v>
      </c>
      <c r="G5" t="s">
        <v>29</v>
      </c>
      <c r="H5" t="s">
        <v>1</v>
      </c>
    </row>
    <row r="6" spans="1:10">
      <c r="A6" s="4">
        <v>786500</v>
      </c>
      <c r="B6" s="4">
        <v>227500</v>
      </c>
      <c r="C6" s="4">
        <v>682000</v>
      </c>
      <c r="D6" s="4">
        <v>218000</v>
      </c>
      <c r="E6" s="4">
        <v>807000</v>
      </c>
      <c r="F6" s="4">
        <v>258000</v>
      </c>
      <c r="G6" s="4">
        <v>630000</v>
      </c>
      <c r="H6" s="4">
        <v>204000</v>
      </c>
      <c r="I6" s="4">
        <v>2905500</v>
      </c>
      <c r="J6" s="4">
        <v>907500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76376-58C8-43B3-8ADF-56488C6355A3}">
  <dimension ref="A1"/>
  <sheetViews>
    <sheetView workbookViewId="0">
      <selection activeCell="A3" sqref="A3"/>
    </sheetView>
  </sheetViews>
  <sheetFormatPr defaultRowHeight="15"/>
  <cols>
    <col min="1" max="1" width="12.42578125" bestFit="1" customWidth="1"/>
    <col min="2" max="3" width="14.42578125" bestFit="1" customWidth="1"/>
    <col min="4" max="4" width="19.425781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BF2A-4212-45D1-BA9D-CE5E5A5BD957}">
  <dimension ref="A3:B9"/>
  <sheetViews>
    <sheetView workbookViewId="0">
      <selection activeCell="C2" sqref="C2"/>
    </sheetView>
  </sheetViews>
  <sheetFormatPr defaultRowHeight="15"/>
  <cols>
    <col min="1" max="1" width="11.7109375" bestFit="1" customWidth="1"/>
    <col min="2" max="2" width="12.42578125" bestFit="1" customWidth="1"/>
    <col min="3" max="3" width="14.42578125" bestFit="1" customWidth="1"/>
  </cols>
  <sheetData>
    <row r="3" spans="1:2">
      <c r="A3" s="6" t="s">
        <v>30</v>
      </c>
      <c r="B3" t="s">
        <v>29</v>
      </c>
    </row>
    <row r="4" spans="1:2">
      <c r="A4" t="s">
        <v>31</v>
      </c>
      <c r="B4" s="4">
        <v>639000</v>
      </c>
    </row>
    <row r="5" spans="1:2">
      <c r="A5" t="s">
        <v>32</v>
      </c>
      <c r="B5" s="4">
        <v>412000</v>
      </c>
    </row>
    <row r="6" spans="1:2">
      <c r="A6" t="s">
        <v>33</v>
      </c>
      <c r="B6" s="4">
        <v>682500</v>
      </c>
    </row>
    <row r="7" spans="1:2">
      <c r="A7" t="s">
        <v>34</v>
      </c>
      <c r="B7" s="4">
        <v>608000</v>
      </c>
    </row>
    <row r="8" spans="1:2">
      <c r="A8" t="s">
        <v>35</v>
      </c>
      <c r="B8" s="4">
        <v>564000</v>
      </c>
    </row>
    <row r="9" spans="1:2">
      <c r="A9" t="s">
        <v>8</v>
      </c>
      <c r="B9" s="4">
        <v>2905500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182B-693C-4613-93BB-7A6A866EDD5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opLeftCell="C50" workbookViewId="0">
      <selection activeCell="F5" sqref="F5"/>
    </sheetView>
  </sheetViews>
  <sheetFormatPr defaultColWidth="11.42578125" defaultRowHeight="15"/>
  <cols>
    <col min="1" max="1" width="11.42578125" customWidth="1"/>
    <col min="2" max="2" width="13.28515625" customWidth="1"/>
    <col min="3" max="3" width="12" customWidth="1"/>
    <col min="4" max="5" width="11.42578125" customWidth="1"/>
    <col min="6" max="6" width="13.7109375" customWidth="1"/>
    <col min="7" max="7" width="11.42578125" customWidth="1"/>
    <col min="11" max="11" width="15.5703125" bestFit="1" customWidth="1"/>
  </cols>
  <sheetData>
    <row r="1" spans="1:15">
      <c r="A1" s="2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5">
      <c r="A4" s="1"/>
    </row>
    <row r="5" spans="1:15">
      <c r="A5" t="s">
        <v>37</v>
      </c>
      <c r="B5" t="s">
        <v>38</v>
      </c>
      <c r="C5" t="s">
        <v>39</v>
      </c>
      <c r="D5" t="s">
        <v>21</v>
      </c>
      <c r="E5" t="s">
        <v>40</v>
      </c>
      <c r="F5" t="s">
        <v>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13</v>
      </c>
      <c r="N5" t="s">
        <v>14</v>
      </c>
      <c r="O5" t="s">
        <v>30</v>
      </c>
    </row>
    <row r="6" spans="1:15">
      <c r="A6" t="s">
        <v>47</v>
      </c>
      <c r="B6" s="3">
        <v>46027</v>
      </c>
      <c r="C6" t="s">
        <v>48</v>
      </c>
      <c r="D6" t="s">
        <v>24</v>
      </c>
      <c r="E6" t="s">
        <v>49</v>
      </c>
      <c r="F6" t="s">
        <v>2</v>
      </c>
      <c r="G6" t="s">
        <v>50</v>
      </c>
      <c r="H6">
        <v>2</v>
      </c>
      <c r="I6">
        <v>120000</v>
      </c>
      <c r="J6">
        <v>90000</v>
      </c>
      <c r="K6">
        <v>3000</v>
      </c>
      <c r="L6">
        <f>Table1[[#This Row],[Sales]]-Table1[[#This Row],[Cost]]</f>
        <v>30000</v>
      </c>
      <c r="M6">
        <f>Table1[[#This Row],[PROFIT]]/Table1[[#This Row],[Sales]]*100</f>
        <v>25</v>
      </c>
      <c r="N6">
        <f>Table1[[#This Row],[Sales]]/Table1[[#This Row],[Quantity]]</f>
        <v>60000</v>
      </c>
      <c r="O6" s="7" t="str">
        <f>TEXT(Table1[[#This Row],[Order Date]],"MMM")</f>
        <v>Jan</v>
      </c>
    </row>
    <row r="7" spans="1:15">
      <c r="A7" t="s">
        <v>51</v>
      </c>
      <c r="B7" s="3">
        <v>46028</v>
      </c>
      <c r="C7" t="s">
        <v>52</v>
      </c>
      <c r="D7" t="s">
        <v>25</v>
      </c>
      <c r="E7" t="s">
        <v>53</v>
      </c>
      <c r="F7" t="s">
        <v>4</v>
      </c>
      <c r="G7" t="s">
        <v>54</v>
      </c>
      <c r="H7">
        <v>5</v>
      </c>
      <c r="I7">
        <v>45000</v>
      </c>
      <c r="J7">
        <v>30000</v>
      </c>
      <c r="K7">
        <v>1500</v>
      </c>
      <c r="L7">
        <f>Table1[[#This Row],[Sales]]-Table1[[#This Row],[Cost]]</f>
        <v>15000</v>
      </c>
      <c r="M7">
        <f>Table1[[#This Row],[PROFIT]]/Table1[[#This Row],[Sales]]*100</f>
        <v>33.333333333333329</v>
      </c>
      <c r="N7">
        <f>Table1[[#This Row],[Sales]]/Table1[[#This Row],[Quantity]]</f>
        <v>9000</v>
      </c>
      <c r="O7" s="7" t="str">
        <f>TEXT(Table1[[#This Row],[Order Date]],"MMM")</f>
        <v>Jan</v>
      </c>
    </row>
    <row r="8" spans="1:15">
      <c r="A8" t="s">
        <v>55</v>
      </c>
      <c r="B8" s="3">
        <v>46030</v>
      </c>
      <c r="C8" t="s">
        <v>56</v>
      </c>
      <c r="D8" t="s">
        <v>26</v>
      </c>
      <c r="E8" t="s">
        <v>57</v>
      </c>
      <c r="F8" t="s">
        <v>6</v>
      </c>
      <c r="G8" t="s">
        <v>50</v>
      </c>
      <c r="H8">
        <v>10</v>
      </c>
      <c r="I8">
        <v>25000</v>
      </c>
      <c r="J8">
        <v>15000</v>
      </c>
      <c r="K8">
        <v>800</v>
      </c>
      <c r="L8">
        <f>Table1[[#This Row],[Sales]]-Table1[[#This Row],[Cost]]</f>
        <v>10000</v>
      </c>
      <c r="M8">
        <f>Table1[[#This Row],[PROFIT]]/Table1[[#This Row],[Sales]]*100</f>
        <v>40</v>
      </c>
      <c r="N8">
        <f>Table1[[#This Row],[Sales]]/Table1[[#This Row],[Quantity]]</f>
        <v>2500</v>
      </c>
      <c r="O8" s="7" t="str">
        <f>TEXT(Table1[[#This Row],[Order Date]],"MMM")</f>
        <v>Jan</v>
      </c>
    </row>
    <row r="9" spans="1:15">
      <c r="A9" t="s">
        <v>58</v>
      </c>
      <c r="B9" s="3">
        <v>46032</v>
      </c>
      <c r="C9" t="s">
        <v>59</v>
      </c>
      <c r="D9" t="s">
        <v>25</v>
      </c>
      <c r="E9" t="s">
        <v>60</v>
      </c>
      <c r="F9" t="s">
        <v>5</v>
      </c>
      <c r="G9" t="s">
        <v>54</v>
      </c>
      <c r="H9">
        <v>3</v>
      </c>
      <c r="I9">
        <v>36000</v>
      </c>
      <c r="J9">
        <v>24000</v>
      </c>
      <c r="K9">
        <v>1200</v>
      </c>
      <c r="L9">
        <f>Table1[[#This Row],[Sales]]-Table1[[#This Row],[Cost]]</f>
        <v>12000</v>
      </c>
      <c r="M9">
        <f>Table1[[#This Row],[PROFIT]]/Table1[[#This Row],[Sales]]*100</f>
        <v>33.333333333333329</v>
      </c>
      <c r="N9">
        <f>Table1[[#This Row],[Sales]]/Table1[[#This Row],[Quantity]]</f>
        <v>12000</v>
      </c>
      <c r="O9" s="7" t="str">
        <f>TEXT(Table1[[#This Row],[Order Date]],"MMM")</f>
        <v>Jan</v>
      </c>
    </row>
    <row r="10" spans="1:15">
      <c r="A10" t="s">
        <v>61</v>
      </c>
      <c r="B10" s="3">
        <v>46034</v>
      </c>
      <c r="C10" t="s">
        <v>62</v>
      </c>
      <c r="D10" t="s">
        <v>24</v>
      </c>
      <c r="E10" t="s">
        <v>49</v>
      </c>
      <c r="F10" t="s">
        <v>3</v>
      </c>
      <c r="G10" t="s">
        <v>50</v>
      </c>
      <c r="H10">
        <v>4</v>
      </c>
      <c r="I10">
        <v>60000</v>
      </c>
      <c r="J10">
        <v>42000</v>
      </c>
      <c r="K10">
        <v>2000</v>
      </c>
      <c r="L10">
        <f>Table1[[#This Row],[Sales]]-Table1[[#This Row],[Cost]]</f>
        <v>18000</v>
      </c>
      <c r="M10">
        <f>Table1[[#This Row],[PROFIT]]/Table1[[#This Row],[Sales]]*100</f>
        <v>30</v>
      </c>
      <c r="N10">
        <f>Table1[[#This Row],[Sales]]/Table1[[#This Row],[Quantity]]</f>
        <v>15000</v>
      </c>
      <c r="O10" s="7" t="str">
        <f>TEXT(Table1[[#This Row],[Order Date]],"MMM")</f>
        <v>Jan</v>
      </c>
    </row>
    <row r="11" spans="1:15">
      <c r="A11" t="s">
        <v>63</v>
      </c>
      <c r="B11" s="3">
        <v>46037</v>
      </c>
      <c r="C11" t="s">
        <v>64</v>
      </c>
      <c r="D11" t="s">
        <v>26</v>
      </c>
      <c r="E11" t="s">
        <v>65</v>
      </c>
      <c r="F11" t="s">
        <v>7</v>
      </c>
      <c r="G11" t="s">
        <v>50</v>
      </c>
      <c r="H11">
        <v>15</v>
      </c>
      <c r="I11">
        <v>15000</v>
      </c>
      <c r="J11">
        <v>7500</v>
      </c>
      <c r="K11">
        <v>500</v>
      </c>
      <c r="L11">
        <f>Table1[[#This Row],[Sales]]-Table1[[#This Row],[Cost]]</f>
        <v>7500</v>
      </c>
      <c r="M11">
        <f>Table1[[#This Row],[PROFIT]]/Table1[[#This Row],[Sales]]*100</f>
        <v>50</v>
      </c>
      <c r="N11">
        <f>Table1[[#This Row],[Sales]]/Table1[[#This Row],[Quantity]]</f>
        <v>1000</v>
      </c>
      <c r="O11" s="7" t="str">
        <f>TEXT(Table1[[#This Row],[Order Date]],"MMM")</f>
        <v>Jan</v>
      </c>
    </row>
    <row r="12" spans="1:15">
      <c r="A12" t="s">
        <v>66</v>
      </c>
      <c r="B12" s="3">
        <v>46040</v>
      </c>
      <c r="C12" t="s">
        <v>67</v>
      </c>
      <c r="D12" t="s">
        <v>25</v>
      </c>
      <c r="E12" t="s">
        <v>53</v>
      </c>
      <c r="F12" t="s">
        <v>2</v>
      </c>
      <c r="G12" t="s">
        <v>50</v>
      </c>
      <c r="H12">
        <v>1</v>
      </c>
      <c r="I12">
        <v>65000</v>
      </c>
      <c r="J12">
        <v>48000</v>
      </c>
      <c r="K12">
        <v>1800</v>
      </c>
      <c r="L12">
        <f>Table1[[#This Row],[Sales]]-Table1[[#This Row],[Cost]]</f>
        <v>17000</v>
      </c>
      <c r="M12">
        <f>Table1[[#This Row],[PROFIT]]/Table1[[#This Row],[Sales]]*100</f>
        <v>26.153846153846157</v>
      </c>
      <c r="N12">
        <f>Table1[[#This Row],[Sales]]/Table1[[#This Row],[Quantity]]</f>
        <v>65000</v>
      </c>
      <c r="O12" s="7" t="str">
        <f>TEXT(Table1[[#This Row],[Order Date]],"MMM")</f>
        <v>Jan</v>
      </c>
    </row>
    <row r="13" spans="1:15">
      <c r="A13" t="s">
        <v>68</v>
      </c>
      <c r="B13" s="3">
        <v>46042</v>
      </c>
      <c r="C13" t="s">
        <v>69</v>
      </c>
      <c r="D13" t="s">
        <v>23</v>
      </c>
      <c r="E13" t="s">
        <v>70</v>
      </c>
      <c r="F13" t="s">
        <v>4</v>
      </c>
      <c r="G13" t="s">
        <v>54</v>
      </c>
      <c r="H13">
        <v>6</v>
      </c>
      <c r="I13">
        <v>54000</v>
      </c>
      <c r="J13">
        <v>36000</v>
      </c>
      <c r="K13">
        <v>1800</v>
      </c>
      <c r="L13">
        <f>Table1[[#This Row],[Sales]]-Table1[[#This Row],[Cost]]</f>
        <v>18000</v>
      </c>
      <c r="M13">
        <f>Table1[[#This Row],[PROFIT]]/Table1[[#This Row],[Sales]]*100</f>
        <v>33.333333333333329</v>
      </c>
      <c r="N13">
        <f>Table1[[#This Row],[Sales]]/Table1[[#This Row],[Quantity]]</f>
        <v>9000</v>
      </c>
      <c r="O13" s="7" t="str">
        <f>TEXT(Table1[[#This Row],[Order Date]],"MMM")</f>
        <v>Jan</v>
      </c>
    </row>
    <row r="14" spans="1:15">
      <c r="A14" t="s">
        <v>71</v>
      </c>
      <c r="B14" s="3">
        <v>46044</v>
      </c>
      <c r="C14" t="s">
        <v>72</v>
      </c>
      <c r="D14" t="s">
        <v>26</v>
      </c>
      <c r="E14" t="s">
        <v>57</v>
      </c>
      <c r="F14" t="s">
        <v>5</v>
      </c>
      <c r="G14" t="s">
        <v>54</v>
      </c>
      <c r="H14">
        <v>2</v>
      </c>
      <c r="I14">
        <v>24000</v>
      </c>
      <c r="J14">
        <v>16000</v>
      </c>
      <c r="K14">
        <v>900</v>
      </c>
      <c r="L14">
        <f>Table1[[#This Row],[Sales]]-Table1[[#This Row],[Cost]]</f>
        <v>8000</v>
      </c>
      <c r="M14">
        <f>Table1[[#This Row],[PROFIT]]/Table1[[#This Row],[Sales]]*100</f>
        <v>33.333333333333329</v>
      </c>
      <c r="N14">
        <f>Table1[[#This Row],[Sales]]/Table1[[#This Row],[Quantity]]</f>
        <v>12000</v>
      </c>
      <c r="O14" s="7" t="str">
        <f>TEXT(Table1[[#This Row],[Order Date]],"MMM")</f>
        <v>Jan</v>
      </c>
    </row>
    <row r="15" spans="1:15">
      <c r="A15" t="s">
        <v>73</v>
      </c>
      <c r="B15" s="3">
        <v>46047</v>
      </c>
      <c r="C15" t="s">
        <v>74</v>
      </c>
      <c r="D15" t="s">
        <v>24</v>
      </c>
      <c r="E15" t="s">
        <v>49</v>
      </c>
      <c r="F15" t="s">
        <v>6</v>
      </c>
      <c r="G15" t="s">
        <v>50</v>
      </c>
      <c r="H15">
        <v>8</v>
      </c>
      <c r="I15">
        <v>20000</v>
      </c>
      <c r="J15">
        <v>12000</v>
      </c>
      <c r="K15">
        <v>700</v>
      </c>
      <c r="L15">
        <f>Table1[[#This Row],[Sales]]-Table1[[#This Row],[Cost]]</f>
        <v>8000</v>
      </c>
      <c r="M15">
        <f>Table1[[#This Row],[PROFIT]]/Table1[[#This Row],[Sales]]*100</f>
        <v>40</v>
      </c>
      <c r="N15">
        <f>Table1[[#This Row],[Sales]]/Table1[[#This Row],[Quantity]]</f>
        <v>2500</v>
      </c>
      <c r="O15" s="7" t="str">
        <f>TEXT(Table1[[#This Row],[Order Date]],"MMM")</f>
        <v>Jan</v>
      </c>
    </row>
    <row r="16" spans="1:15">
      <c r="A16" t="s">
        <v>75</v>
      </c>
      <c r="B16" s="3">
        <v>46050</v>
      </c>
      <c r="C16" t="s">
        <v>48</v>
      </c>
      <c r="D16" t="s">
        <v>25</v>
      </c>
      <c r="E16" t="s">
        <v>60</v>
      </c>
      <c r="F16" t="s">
        <v>3</v>
      </c>
      <c r="G16" t="s">
        <v>50</v>
      </c>
      <c r="H16">
        <v>3</v>
      </c>
      <c r="I16">
        <v>45000</v>
      </c>
      <c r="J16">
        <v>31500</v>
      </c>
      <c r="K16">
        <v>1500</v>
      </c>
      <c r="L16">
        <f>Table1[[#This Row],[Sales]]-Table1[[#This Row],[Cost]]</f>
        <v>13500</v>
      </c>
      <c r="M16">
        <f>Table1[[#This Row],[PROFIT]]/Table1[[#This Row],[Sales]]*100</f>
        <v>30</v>
      </c>
      <c r="N16">
        <f>Table1[[#This Row],[Sales]]/Table1[[#This Row],[Quantity]]</f>
        <v>15000</v>
      </c>
      <c r="O16" s="7" t="str">
        <f>TEXT(Table1[[#This Row],[Order Date]],"MMM")</f>
        <v>Jan</v>
      </c>
    </row>
    <row r="17" spans="1:15">
      <c r="A17" t="s">
        <v>76</v>
      </c>
      <c r="B17" s="3">
        <v>46052</v>
      </c>
      <c r="C17" t="s">
        <v>52</v>
      </c>
      <c r="D17" t="s">
        <v>23</v>
      </c>
      <c r="E17" t="s">
        <v>70</v>
      </c>
      <c r="F17" t="s">
        <v>2</v>
      </c>
      <c r="G17" t="s">
        <v>50</v>
      </c>
      <c r="H17">
        <v>2</v>
      </c>
      <c r="I17">
        <v>130000</v>
      </c>
      <c r="J17">
        <v>96000</v>
      </c>
      <c r="K17">
        <v>3500</v>
      </c>
      <c r="L17">
        <f>Table1[[#This Row],[Sales]]-Table1[[#This Row],[Cost]]</f>
        <v>34000</v>
      </c>
      <c r="M17">
        <f>Table1[[#This Row],[PROFIT]]/Table1[[#This Row],[Sales]]*100</f>
        <v>26.153846153846157</v>
      </c>
      <c r="N17">
        <f>Table1[[#This Row],[Sales]]/Table1[[#This Row],[Quantity]]</f>
        <v>65000</v>
      </c>
      <c r="O17" s="7" t="str">
        <f>TEXT(Table1[[#This Row],[Order Date]],"MMM")</f>
        <v>Jan</v>
      </c>
    </row>
    <row r="18" spans="1:15">
      <c r="A18" t="s">
        <v>77</v>
      </c>
      <c r="B18" s="3">
        <v>46055</v>
      </c>
      <c r="C18" t="s">
        <v>56</v>
      </c>
      <c r="D18" t="s">
        <v>26</v>
      </c>
      <c r="E18" t="s">
        <v>65</v>
      </c>
      <c r="F18" t="s">
        <v>4</v>
      </c>
      <c r="G18" t="s">
        <v>54</v>
      </c>
      <c r="H18">
        <v>4</v>
      </c>
      <c r="I18">
        <v>36000</v>
      </c>
      <c r="J18">
        <v>24000</v>
      </c>
      <c r="K18">
        <v>1200</v>
      </c>
      <c r="L18">
        <f>Table1[[#This Row],[Sales]]-Table1[[#This Row],[Cost]]</f>
        <v>12000</v>
      </c>
      <c r="M18">
        <f>Table1[[#This Row],[PROFIT]]/Table1[[#This Row],[Sales]]*100</f>
        <v>33.333333333333329</v>
      </c>
      <c r="N18">
        <f>Table1[[#This Row],[Sales]]/Table1[[#This Row],[Quantity]]</f>
        <v>9000</v>
      </c>
      <c r="O18" s="7" t="str">
        <f>TEXT(Table1[[#This Row],[Order Date]],"MMM")</f>
        <v>Feb</v>
      </c>
    </row>
    <row r="19" spans="1:15">
      <c r="A19" t="s">
        <v>78</v>
      </c>
      <c r="B19" s="3">
        <v>46058</v>
      </c>
      <c r="C19" t="s">
        <v>59</v>
      </c>
      <c r="D19" t="s">
        <v>24</v>
      </c>
      <c r="E19" t="s">
        <v>49</v>
      </c>
      <c r="F19" t="s">
        <v>5</v>
      </c>
      <c r="G19" t="s">
        <v>54</v>
      </c>
      <c r="H19">
        <v>5</v>
      </c>
      <c r="I19">
        <v>60000</v>
      </c>
      <c r="J19">
        <v>40000</v>
      </c>
      <c r="K19">
        <v>2000</v>
      </c>
      <c r="L19">
        <f>Table1[[#This Row],[Sales]]-Table1[[#This Row],[Cost]]</f>
        <v>20000</v>
      </c>
      <c r="M19">
        <f>Table1[[#This Row],[PROFIT]]/Table1[[#This Row],[Sales]]*100</f>
        <v>33.333333333333329</v>
      </c>
      <c r="N19">
        <f>Table1[[#This Row],[Sales]]/Table1[[#This Row],[Quantity]]</f>
        <v>12000</v>
      </c>
      <c r="O19" s="7" t="str">
        <f>TEXT(Table1[[#This Row],[Order Date]],"MMM")</f>
        <v>Feb</v>
      </c>
    </row>
    <row r="20" spans="1:15">
      <c r="A20" t="s">
        <v>79</v>
      </c>
      <c r="B20" s="3">
        <v>46061</v>
      </c>
      <c r="C20" t="s">
        <v>62</v>
      </c>
      <c r="D20" t="s">
        <v>25</v>
      </c>
      <c r="E20" t="s">
        <v>53</v>
      </c>
      <c r="F20" t="s">
        <v>7</v>
      </c>
      <c r="G20" t="s">
        <v>50</v>
      </c>
      <c r="H20">
        <v>20</v>
      </c>
      <c r="I20">
        <v>20000</v>
      </c>
      <c r="J20">
        <v>10000</v>
      </c>
      <c r="K20">
        <v>600</v>
      </c>
      <c r="L20">
        <f>Table1[[#This Row],[Sales]]-Table1[[#This Row],[Cost]]</f>
        <v>10000</v>
      </c>
      <c r="M20">
        <f>Table1[[#This Row],[PROFIT]]/Table1[[#This Row],[Sales]]*100</f>
        <v>50</v>
      </c>
      <c r="N20">
        <f>Table1[[#This Row],[Sales]]/Table1[[#This Row],[Quantity]]</f>
        <v>1000</v>
      </c>
      <c r="O20" s="7" t="str">
        <f>TEXT(Table1[[#This Row],[Order Date]],"MMM")</f>
        <v>Feb</v>
      </c>
    </row>
    <row r="21" spans="1:15">
      <c r="A21" t="s">
        <v>80</v>
      </c>
      <c r="B21" s="3">
        <v>46064</v>
      </c>
      <c r="C21" t="s">
        <v>64</v>
      </c>
      <c r="D21" t="s">
        <v>26</v>
      </c>
      <c r="E21" t="s">
        <v>57</v>
      </c>
      <c r="F21" t="s">
        <v>2</v>
      </c>
      <c r="G21" t="s">
        <v>50</v>
      </c>
      <c r="H21">
        <v>1</v>
      </c>
      <c r="I21">
        <v>62000</v>
      </c>
      <c r="J21">
        <v>46000</v>
      </c>
      <c r="K21">
        <v>1700</v>
      </c>
      <c r="L21">
        <f>Table1[[#This Row],[Sales]]-Table1[[#This Row],[Cost]]</f>
        <v>16000</v>
      </c>
      <c r="M21">
        <f>Table1[[#This Row],[PROFIT]]/Table1[[#This Row],[Sales]]*100</f>
        <v>25.806451612903224</v>
      </c>
      <c r="N21">
        <f>Table1[[#This Row],[Sales]]/Table1[[#This Row],[Quantity]]</f>
        <v>62000</v>
      </c>
      <c r="O21" s="7" t="str">
        <f>TEXT(Table1[[#This Row],[Order Date]],"MMM")</f>
        <v>Feb</v>
      </c>
    </row>
    <row r="22" spans="1:15">
      <c r="A22" t="s">
        <v>81</v>
      </c>
      <c r="B22" s="3">
        <v>46067</v>
      </c>
      <c r="C22" t="s">
        <v>67</v>
      </c>
      <c r="D22" t="s">
        <v>23</v>
      </c>
      <c r="E22" t="s">
        <v>70</v>
      </c>
      <c r="F22" t="s">
        <v>3</v>
      </c>
      <c r="G22" t="s">
        <v>50</v>
      </c>
      <c r="H22">
        <v>5</v>
      </c>
      <c r="I22">
        <v>75000</v>
      </c>
      <c r="J22">
        <v>52500</v>
      </c>
      <c r="K22">
        <v>2200</v>
      </c>
      <c r="L22">
        <f>Table1[[#This Row],[Sales]]-Table1[[#This Row],[Cost]]</f>
        <v>22500</v>
      </c>
      <c r="M22">
        <f>Table1[[#This Row],[PROFIT]]/Table1[[#This Row],[Sales]]*100</f>
        <v>30</v>
      </c>
      <c r="N22">
        <f>Table1[[#This Row],[Sales]]/Table1[[#This Row],[Quantity]]</f>
        <v>15000</v>
      </c>
      <c r="O22" s="7" t="str">
        <f>TEXT(Table1[[#This Row],[Order Date]],"MMM")</f>
        <v>Feb</v>
      </c>
    </row>
    <row r="23" spans="1:15">
      <c r="A23" t="s">
        <v>82</v>
      </c>
      <c r="B23" s="3">
        <v>46070</v>
      </c>
      <c r="C23" t="s">
        <v>69</v>
      </c>
      <c r="D23" t="s">
        <v>25</v>
      </c>
      <c r="E23" t="s">
        <v>60</v>
      </c>
      <c r="F23" t="s">
        <v>6</v>
      </c>
      <c r="G23" t="s">
        <v>50</v>
      </c>
      <c r="H23">
        <v>12</v>
      </c>
      <c r="I23">
        <v>30000</v>
      </c>
      <c r="J23">
        <v>18000</v>
      </c>
      <c r="K23">
        <v>900</v>
      </c>
      <c r="L23">
        <f>Table1[[#This Row],[Sales]]-Table1[[#This Row],[Cost]]</f>
        <v>12000</v>
      </c>
      <c r="M23">
        <f>Table1[[#This Row],[PROFIT]]/Table1[[#This Row],[Sales]]*100</f>
        <v>40</v>
      </c>
      <c r="N23">
        <f>Table1[[#This Row],[Sales]]/Table1[[#This Row],[Quantity]]</f>
        <v>2500</v>
      </c>
      <c r="O23" s="7" t="str">
        <f>TEXT(Table1[[#This Row],[Order Date]],"MMM")</f>
        <v>Feb</v>
      </c>
    </row>
    <row r="24" spans="1:15">
      <c r="A24" t="s">
        <v>83</v>
      </c>
      <c r="B24" s="3">
        <v>46073</v>
      </c>
      <c r="C24" t="s">
        <v>72</v>
      </c>
      <c r="D24" t="s">
        <v>24</v>
      </c>
      <c r="E24" t="s">
        <v>49</v>
      </c>
      <c r="F24" t="s">
        <v>4</v>
      </c>
      <c r="G24" t="s">
        <v>54</v>
      </c>
      <c r="H24">
        <v>7</v>
      </c>
      <c r="I24">
        <v>63000</v>
      </c>
      <c r="J24">
        <v>42000</v>
      </c>
      <c r="K24">
        <v>2100</v>
      </c>
      <c r="L24">
        <f>Table1[[#This Row],[Sales]]-Table1[[#This Row],[Cost]]</f>
        <v>21000</v>
      </c>
      <c r="M24">
        <f>Table1[[#This Row],[PROFIT]]/Table1[[#This Row],[Sales]]*100</f>
        <v>33.333333333333329</v>
      </c>
      <c r="N24">
        <f>Table1[[#This Row],[Sales]]/Table1[[#This Row],[Quantity]]</f>
        <v>9000</v>
      </c>
      <c r="O24" s="7" t="str">
        <f>TEXT(Table1[[#This Row],[Order Date]],"MMM")</f>
        <v>Feb</v>
      </c>
    </row>
    <row r="25" spans="1:15">
      <c r="A25" t="s">
        <v>84</v>
      </c>
      <c r="B25" s="3">
        <v>46076</v>
      </c>
      <c r="C25" t="s">
        <v>74</v>
      </c>
      <c r="D25" t="s">
        <v>26</v>
      </c>
      <c r="E25" t="s">
        <v>65</v>
      </c>
      <c r="F25" t="s">
        <v>5</v>
      </c>
      <c r="G25" t="s">
        <v>54</v>
      </c>
      <c r="H25">
        <v>3</v>
      </c>
      <c r="I25">
        <v>36000</v>
      </c>
      <c r="J25">
        <v>24000</v>
      </c>
      <c r="K25">
        <v>1200</v>
      </c>
      <c r="L25">
        <f>Table1[[#This Row],[Sales]]-Table1[[#This Row],[Cost]]</f>
        <v>12000</v>
      </c>
      <c r="M25">
        <f>Table1[[#This Row],[PROFIT]]/Table1[[#This Row],[Sales]]*100</f>
        <v>33.333333333333329</v>
      </c>
      <c r="N25">
        <f>Table1[[#This Row],[Sales]]/Table1[[#This Row],[Quantity]]</f>
        <v>12000</v>
      </c>
      <c r="O25" s="7" t="str">
        <f>TEXT(Table1[[#This Row],[Order Date]],"MMM")</f>
        <v>Feb</v>
      </c>
    </row>
    <row r="26" spans="1:15">
      <c r="A26" t="s">
        <v>85</v>
      </c>
      <c r="B26" s="3">
        <v>46079</v>
      </c>
      <c r="C26" t="s">
        <v>48</v>
      </c>
      <c r="D26" t="s">
        <v>25</v>
      </c>
      <c r="E26" t="s">
        <v>53</v>
      </c>
      <c r="F26" t="s">
        <v>3</v>
      </c>
      <c r="G26" t="s">
        <v>50</v>
      </c>
      <c r="H26">
        <v>2</v>
      </c>
      <c r="I26">
        <v>30000</v>
      </c>
      <c r="J26">
        <v>21000</v>
      </c>
      <c r="K26">
        <v>1000</v>
      </c>
      <c r="L26">
        <f>Table1[[#This Row],[Sales]]-Table1[[#This Row],[Cost]]</f>
        <v>9000</v>
      </c>
      <c r="M26">
        <f>Table1[[#This Row],[PROFIT]]/Table1[[#This Row],[Sales]]*100</f>
        <v>30</v>
      </c>
      <c r="N26">
        <f>Table1[[#This Row],[Sales]]/Table1[[#This Row],[Quantity]]</f>
        <v>15000</v>
      </c>
      <c r="O26" s="7" t="str">
        <f>TEXT(Table1[[#This Row],[Order Date]],"MMM")</f>
        <v>Feb</v>
      </c>
    </row>
    <row r="27" spans="1:15">
      <c r="A27" t="s">
        <v>86</v>
      </c>
      <c r="B27" s="3">
        <v>46082</v>
      </c>
      <c r="C27" t="s">
        <v>52</v>
      </c>
      <c r="D27" t="s">
        <v>23</v>
      </c>
      <c r="E27" t="s">
        <v>70</v>
      </c>
      <c r="F27" t="s">
        <v>2</v>
      </c>
      <c r="G27" t="s">
        <v>50</v>
      </c>
      <c r="H27">
        <v>3</v>
      </c>
      <c r="I27">
        <v>195000</v>
      </c>
      <c r="J27">
        <v>144000</v>
      </c>
      <c r="K27">
        <v>4500</v>
      </c>
      <c r="L27">
        <f>Table1[[#This Row],[Sales]]-Table1[[#This Row],[Cost]]</f>
        <v>51000</v>
      </c>
      <c r="M27">
        <f>Table1[[#This Row],[PROFIT]]/Table1[[#This Row],[Sales]]*100</f>
        <v>26.153846153846157</v>
      </c>
      <c r="N27">
        <f>Table1[[#This Row],[Sales]]/Table1[[#This Row],[Quantity]]</f>
        <v>65000</v>
      </c>
      <c r="O27" s="7" t="str">
        <f>TEXT(Table1[[#This Row],[Order Date]],"MMM")</f>
        <v>Mar</v>
      </c>
    </row>
    <row r="28" spans="1:15">
      <c r="A28" t="s">
        <v>87</v>
      </c>
      <c r="B28" s="3">
        <v>46085</v>
      </c>
      <c r="C28" t="s">
        <v>56</v>
      </c>
      <c r="D28" t="s">
        <v>24</v>
      </c>
      <c r="E28" t="s">
        <v>49</v>
      </c>
      <c r="F28" t="s">
        <v>7</v>
      </c>
      <c r="G28" t="s">
        <v>50</v>
      </c>
      <c r="H28">
        <v>25</v>
      </c>
      <c r="I28">
        <v>25000</v>
      </c>
      <c r="J28">
        <v>12500</v>
      </c>
      <c r="K28">
        <v>700</v>
      </c>
      <c r="L28">
        <f>Table1[[#This Row],[Sales]]-Table1[[#This Row],[Cost]]</f>
        <v>12500</v>
      </c>
      <c r="M28">
        <f>Table1[[#This Row],[PROFIT]]/Table1[[#This Row],[Sales]]*100</f>
        <v>50</v>
      </c>
      <c r="N28">
        <f>Table1[[#This Row],[Sales]]/Table1[[#This Row],[Quantity]]</f>
        <v>1000</v>
      </c>
      <c r="O28" s="7" t="str">
        <f>TEXT(Table1[[#This Row],[Order Date]],"MMM")</f>
        <v>Mar</v>
      </c>
    </row>
    <row r="29" spans="1:15">
      <c r="A29" t="s">
        <v>88</v>
      </c>
      <c r="B29" s="3">
        <v>46088</v>
      </c>
      <c r="C29" t="s">
        <v>59</v>
      </c>
      <c r="D29" t="s">
        <v>26</v>
      </c>
      <c r="E29" t="s">
        <v>57</v>
      </c>
      <c r="F29" t="s">
        <v>4</v>
      </c>
      <c r="G29" t="s">
        <v>54</v>
      </c>
      <c r="H29">
        <v>5</v>
      </c>
      <c r="I29">
        <v>45000</v>
      </c>
      <c r="J29">
        <v>30000</v>
      </c>
      <c r="K29">
        <v>1500</v>
      </c>
      <c r="L29">
        <f>Table1[[#This Row],[Sales]]-Table1[[#This Row],[Cost]]</f>
        <v>15000</v>
      </c>
      <c r="M29">
        <f>Table1[[#This Row],[PROFIT]]/Table1[[#This Row],[Sales]]*100</f>
        <v>33.333333333333329</v>
      </c>
      <c r="N29">
        <f>Table1[[#This Row],[Sales]]/Table1[[#This Row],[Quantity]]</f>
        <v>9000</v>
      </c>
      <c r="O29" s="7" t="str">
        <f>TEXT(Table1[[#This Row],[Order Date]],"MMM")</f>
        <v>Mar</v>
      </c>
    </row>
    <row r="30" spans="1:15">
      <c r="A30" t="s">
        <v>89</v>
      </c>
      <c r="B30" s="3">
        <v>46091</v>
      </c>
      <c r="C30" t="s">
        <v>62</v>
      </c>
      <c r="D30" t="s">
        <v>25</v>
      </c>
      <c r="E30" t="s">
        <v>60</v>
      </c>
      <c r="F30" t="s">
        <v>5</v>
      </c>
      <c r="G30" t="s">
        <v>54</v>
      </c>
      <c r="H30">
        <v>4</v>
      </c>
      <c r="I30">
        <v>48000</v>
      </c>
      <c r="J30">
        <v>32000</v>
      </c>
      <c r="K30">
        <v>1600</v>
      </c>
      <c r="L30">
        <f>Table1[[#This Row],[Sales]]-Table1[[#This Row],[Cost]]</f>
        <v>16000</v>
      </c>
      <c r="M30">
        <f>Table1[[#This Row],[PROFIT]]/Table1[[#This Row],[Sales]]*100</f>
        <v>33.333333333333329</v>
      </c>
      <c r="N30">
        <f>Table1[[#This Row],[Sales]]/Table1[[#This Row],[Quantity]]</f>
        <v>12000</v>
      </c>
      <c r="O30" s="7" t="str">
        <f>TEXT(Table1[[#This Row],[Order Date]],"MMM")</f>
        <v>Mar</v>
      </c>
    </row>
    <row r="31" spans="1:15">
      <c r="A31" t="s">
        <v>90</v>
      </c>
      <c r="B31" s="3">
        <v>46094</v>
      </c>
      <c r="C31" t="s">
        <v>64</v>
      </c>
      <c r="D31" t="s">
        <v>23</v>
      </c>
      <c r="E31" t="s">
        <v>70</v>
      </c>
      <c r="F31" t="s">
        <v>6</v>
      </c>
      <c r="G31" t="s">
        <v>50</v>
      </c>
      <c r="H31">
        <v>15</v>
      </c>
      <c r="I31">
        <v>37500</v>
      </c>
      <c r="J31">
        <v>22500</v>
      </c>
      <c r="K31">
        <v>1100</v>
      </c>
      <c r="L31">
        <f>Table1[[#This Row],[Sales]]-Table1[[#This Row],[Cost]]</f>
        <v>15000</v>
      </c>
      <c r="M31">
        <f>Table1[[#This Row],[PROFIT]]/Table1[[#This Row],[Sales]]*100</f>
        <v>40</v>
      </c>
      <c r="N31">
        <f>Table1[[#This Row],[Sales]]/Table1[[#This Row],[Quantity]]</f>
        <v>2500</v>
      </c>
      <c r="O31" s="7" t="str">
        <f>TEXT(Table1[[#This Row],[Order Date]],"MMM")</f>
        <v>Mar</v>
      </c>
    </row>
    <row r="32" spans="1:15">
      <c r="A32" t="s">
        <v>91</v>
      </c>
      <c r="B32" s="3">
        <v>46097</v>
      </c>
      <c r="C32" t="s">
        <v>67</v>
      </c>
      <c r="D32" t="s">
        <v>24</v>
      </c>
      <c r="E32" t="s">
        <v>49</v>
      </c>
      <c r="F32" t="s">
        <v>3</v>
      </c>
      <c r="G32" t="s">
        <v>50</v>
      </c>
      <c r="H32">
        <v>6</v>
      </c>
      <c r="I32">
        <v>90000</v>
      </c>
      <c r="J32">
        <v>63000</v>
      </c>
      <c r="K32">
        <v>2500</v>
      </c>
      <c r="L32">
        <f>Table1[[#This Row],[Sales]]-Table1[[#This Row],[Cost]]</f>
        <v>27000</v>
      </c>
      <c r="M32">
        <f>Table1[[#This Row],[PROFIT]]/Table1[[#This Row],[Sales]]*100</f>
        <v>30</v>
      </c>
      <c r="N32">
        <f>Table1[[#This Row],[Sales]]/Table1[[#This Row],[Quantity]]</f>
        <v>15000</v>
      </c>
      <c r="O32" s="7" t="str">
        <f>TEXT(Table1[[#This Row],[Order Date]],"MMM")</f>
        <v>Mar</v>
      </c>
    </row>
    <row r="33" spans="1:15">
      <c r="A33" t="s">
        <v>92</v>
      </c>
      <c r="B33" s="3">
        <v>46100</v>
      </c>
      <c r="C33" t="s">
        <v>69</v>
      </c>
      <c r="D33" t="s">
        <v>26</v>
      </c>
      <c r="E33" t="s">
        <v>65</v>
      </c>
      <c r="F33" t="s">
        <v>2</v>
      </c>
      <c r="G33" t="s">
        <v>50</v>
      </c>
      <c r="H33">
        <v>2</v>
      </c>
      <c r="I33">
        <v>128000</v>
      </c>
      <c r="J33">
        <v>94000</v>
      </c>
      <c r="K33">
        <v>3500</v>
      </c>
      <c r="L33">
        <f>Table1[[#This Row],[Sales]]-Table1[[#This Row],[Cost]]</f>
        <v>34000</v>
      </c>
      <c r="M33">
        <f>Table1[[#This Row],[PROFIT]]/Table1[[#This Row],[Sales]]*100</f>
        <v>26.5625</v>
      </c>
      <c r="N33">
        <f>Table1[[#This Row],[Sales]]/Table1[[#This Row],[Quantity]]</f>
        <v>64000</v>
      </c>
      <c r="O33" s="7" t="str">
        <f>TEXT(Table1[[#This Row],[Order Date]],"MMM")</f>
        <v>Mar</v>
      </c>
    </row>
    <row r="34" spans="1:15">
      <c r="A34" t="s">
        <v>93</v>
      </c>
      <c r="B34" s="3">
        <v>46103</v>
      </c>
      <c r="C34" t="s">
        <v>72</v>
      </c>
      <c r="D34" t="s">
        <v>25</v>
      </c>
      <c r="E34" t="s">
        <v>53</v>
      </c>
      <c r="F34" t="s">
        <v>4</v>
      </c>
      <c r="G34" t="s">
        <v>54</v>
      </c>
      <c r="H34">
        <v>8</v>
      </c>
      <c r="I34">
        <v>72000</v>
      </c>
      <c r="J34">
        <v>48000</v>
      </c>
      <c r="K34">
        <v>2400</v>
      </c>
      <c r="L34">
        <f>Table1[[#This Row],[Sales]]-Table1[[#This Row],[Cost]]</f>
        <v>24000</v>
      </c>
      <c r="M34">
        <f>Table1[[#This Row],[PROFIT]]/Table1[[#This Row],[Sales]]*100</f>
        <v>33.333333333333329</v>
      </c>
      <c r="N34">
        <f>Table1[[#This Row],[Sales]]/Table1[[#This Row],[Quantity]]</f>
        <v>9000</v>
      </c>
      <c r="O34" s="7" t="str">
        <f>TEXT(Table1[[#This Row],[Order Date]],"MMM")</f>
        <v>Mar</v>
      </c>
    </row>
    <row r="35" spans="1:15">
      <c r="A35" t="s">
        <v>94</v>
      </c>
      <c r="B35" s="3">
        <v>46106</v>
      </c>
      <c r="C35" t="s">
        <v>74</v>
      </c>
      <c r="D35" t="s">
        <v>23</v>
      </c>
      <c r="E35" t="s">
        <v>70</v>
      </c>
      <c r="F35" t="s">
        <v>5</v>
      </c>
      <c r="G35" t="s">
        <v>54</v>
      </c>
      <c r="H35">
        <v>2</v>
      </c>
      <c r="I35">
        <v>24000</v>
      </c>
      <c r="J35">
        <v>16000</v>
      </c>
      <c r="K35">
        <v>900</v>
      </c>
      <c r="L35">
        <f>Table1[[#This Row],[Sales]]-Table1[[#This Row],[Cost]]</f>
        <v>8000</v>
      </c>
      <c r="M35">
        <f>Table1[[#This Row],[PROFIT]]/Table1[[#This Row],[Sales]]*100</f>
        <v>33.333333333333329</v>
      </c>
      <c r="N35">
        <f>Table1[[#This Row],[Sales]]/Table1[[#This Row],[Quantity]]</f>
        <v>12000</v>
      </c>
      <c r="O35" s="7" t="str">
        <f>TEXT(Table1[[#This Row],[Order Date]],"MMM")</f>
        <v>Mar</v>
      </c>
    </row>
    <row r="36" spans="1:15">
      <c r="A36" t="s">
        <v>95</v>
      </c>
      <c r="B36" s="3">
        <v>46109</v>
      </c>
      <c r="C36" t="s">
        <v>48</v>
      </c>
      <c r="D36" t="s">
        <v>26</v>
      </c>
      <c r="E36" t="s">
        <v>57</v>
      </c>
      <c r="F36" t="s">
        <v>7</v>
      </c>
      <c r="G36" t="s">
        <v>50</v>
      </c>
      <c r="H36">
        <v>18</v>
      </c>
      <c r="I36">
        <v>18000</v>
      </c>
      <c r="J36">
        <v>9000</v>
      </c>
      <c r="K36">
        <v>600</v>
      </c>
      <c r="L36">
        <f>Table1[[#This Row],[Sales]]-Table1[[#This Row],[Cost]]</f>
        <v>9000</v>
      </c>
      <c r="M36">
        <f>Table1[[#This Row],[PROFIT]]/Table1[[#This Row],[Sales]]*100</f>
        <v>50</v>
      </c>
      <c r="N36">
        <f>Table1[[#This Row],[Sales]]/Table1[[#This Row],[Quantity]]</f>
        <v>1000</v>
      </c>
      <c r="O36" s="7" t="str">
        <f>TEXT(Table1[[#This Row],[Order Date]],"MMM")</f>
        <v>Mar</v>
      </c>
    </row>
    <row r="37" spans="1:15">
      <c r="A37" t="s">
        <v>96</v>
      </c>
      <c r="B37" s="3">
        <v>46114</v>
      </c>
      <c r="C37" t="s">
        <v>52</v>
      </c>
      <c r="D37" t="s">
        <v>24</v>
      </c>
      <c r="E37" t="s">
        <v>49</v>
      </c>
      <c r="F37" t="s">
        <v>2</v>
      </c>
      <c r="G37" t="s">
        <v>50</v>
      </c>
      <c r="H37">
        <v>1</v>
      </c>
      <c r="I37">
        <v>68000</v>
      </c>
      <c r="J37">
        <v>50000</v>
      </c>
      <c r="K37">
        <v>1900</v>
      </c>
      <c r="L37">
        <f>Table1[[#This Row],[Sales]]-Table1[[#This Row],[Cost]]</f>
        <v>18000</v>
      </c>
      <c r="M37">
        <f>Table1[[#This Row],[PROFIT]]/Table1[[#This Row],[Sales]]*100</f>
        <v>26.47058823529412</v>
      </c>
      <c r="N37">
        <f>Table1[[#This Row],[Sales]]/Table1[[#This Row],[Quantity]]</f>
        <v>68000</v>
      </c>
      <c r="O37" s="7" t="str">
        <f>TEXT(Table1[[#This Row],[Order Date]],"MMM")</f>
        <v>Apr</v>
      </c>
    </row>
    <row r="38" spans="1:15">
      <c r="A38" t="s">
        <v>97</v>
      </c>
      <c r="B38" s="3">
        <v>46117</v>
      </c>
      <c r="C38" t="s">
        <v>56</v>
      </c>
      <c r="D38" t="s">
        <v>25</v>
      </c>
      <c r="E38" t="s">
        <v>60</v>
      </c>
      <c r="F38" t="s">
        <v>3</v>
      </c>
      <c r="G38" t="s">
        <v>50</v>
      </c>
      <c r="H38">
        <v>4</v>
      </c>
      <c r="I38">
        <v>60000</v>
      </c>
      <c r="J38">
        <v>42000</v>
      </c>
      <c r="K38">
        <v>2000</v>
      </c>
      <c r="L38">
        <f>Table1[[#This Row],[Sales]]-Table1[[#This Row],[Cost]]</f>
        <v>18000</v>
      </c>
      <c r="M38">
        <f>Table1[[#This Row],[PROFIT]]/Table1[[#This Row],[Sales]]*100</f>
        <v>30</v>
      </c>
      <c r="N38">
        <f>Table1[[#This Row],[Sales]]/Table1[[#This Row],[Quantity]]</f>
        <v>15000</v>
      </c>
      <c r="O38" s="7" t="str">
        <f>TEXT(Table1[[#This Row],[Order Date]],"MMM")</f>
        <v>Apr</v>
      </c>
    </row>
    <row r="39" spans="1:15">
      <c r="A39" t="s">
        <v>98</v>
      </c>
      <c r="B39" s="3">
        <v>46120</v>
      </c>
      <c r="C39" t="s">
        <v>59</v>
      </c>
      <c r="D39" t="s">
        <v>23</v>
      </c>
      <c r="E39" t="s">
        <v>70</v>
      </c>
      <c r="F39" t="s">
        <v>4</v>
      </c>
      <c r="G39" t="s">
        <v>54</v>
      </c>
      <c r="H39">
        <v>6</v>
      </c>
      <c r="I39">
        <v>54000</v>
      </c>
      <c r="J39">
        <v>36000</v>
      </c>
      <c r="K39">
        <v>1800</v>
      </c>
      <c r="L39">
        <f>Table1[[#This Row],[Sales]]-Table1[[#This Row],[Cost]]</f>
        <v>18000</v>
      </c>
      <c r="M39">
        <f>Table1[[#This Row],[PROFIT]]/Table1[[#This Row],[Sales]]*100</f>
        <v>33.333333333333329</v>
      </c>
      <c r="N39">
        <f>Table1[[#This Row],[Sales]]/Table1[[#This Row],[Quantity]]</f>
        <v>9000</v>
      </c>
      <c r="O39" s="7" t="str">
        <f>TEXT(Table1[[#This Row],[Order Date]],"MMM")</f>
        <v>Apr</v>
      </c>
    </row>
    <row r="40" spans="1:15">
      <c r="A40" t="s">
        <v>99</v>
      </c>
      <c r="B40" s="3">
        <v>46123</v>
      </c>
      <c r="C40" t="s">
        <v>62</v>
      </c>
      <c r="D40" t="s">
        <v>26</v>
      </c>
      <c r="E40" t="s">
        <v>65</v>
      </c>
      <c r="F40" t="s">
        <v>5</v>
      </c>
      <c r="G40" t="s">
        <v>54</v>
      </c>
      <c r="H40">
        <v>5</v>
      </c>
      <c r="I40">
        <v>60000</v>
      </c>
      <c r="J40">
        <v>40000</v>
      </c>
      <c r="K40">
        <v>2000</v>
      </c>
      <c r="L40">
        <f>Table1[[#This Row],[Sales]]-Table1[[#This Row],[Cost]]</f>
        <v>20000</v>
      </c>
      <c r="M40">
        <f>Table1[[#This Row],[PROFIT]]/Table1[[#This Row],[Sales]]*100</f>
        <v>33.333333333333329</v>
      </c>
      <c r="N40">
        <f>Table1[[#This Row],[Sales]]/Table1[[#This Row],[Quantity]]</f>
        <v>12000</v>
      </c>
      <c r="O40" s="7" t="str">
        <f>TEXT(Table1[[#This Row],[Order Date]],"MMM")</f>
        <v>Apr</v>
      </c>
    </row>
    <row r="41" spans="1:15">
      <c r="A41" t="s">
        <v>100</v>
      </c>
      <c r="B41" s="3">
        <v>46126</v>
      </c>
      <c r="C41" t="s">
        <v>64</v>
      </c>
      <c r="D41" t="s">
        <v>25</v>
      </c>
      <c r="E41" t="s">
        <v>53</v>
      </c>
      <c r="F41" t="s">
        <v>6</v>
      </c>
      <c r="G41" t="s">
        <v>50</v>
      </c>
      <c r="H41">
        <v>20</v>
      </c>
      <c r="I41">
        <v>50000</v>
      </c>
      <c r="J41">
        <v>30000</v>
      </c>
      <c r="K41">
        <v>1300</v>
      </c>
      <c r="L41">
        <f>Table1[[#This Row],[Sales]]-Table1[[#This Row],[Cost]]</f>
        <v>20000</v>
      </c>
      <c r="M41">
        <f>Table1[[#This Row],[PROFIT]]/Table1[[#This Row],[Sales]]*100</f>
        <v>40</v>
      </c>
      <c r="N41">
        <f>Table1[[#This Row],[Sales]]/Table1[[#This Row],[Quantity]]</f>
        <v>2500</v>
      </c>
      <c r="O41" s="7" t="str">
        <f>TEXT(Table1[[#This Row],[Order Date]],"MMM")</f>
        <v>Apr</v>
      </c>
    </row>
    <row r="42" spans="1:15">
      <c r="A42" t="s">
        <v>101</v>
      </c>
      <c r="B42" s="3">
        <v>46129</v>
      </c>
      <c r="C42" t="s">
        <v>67</v>
      </c>
      <c r="D42" t="s">
        <v>24</v>
      </c>
      <c r="E42" t="s">
        <v>49</v>
      </c>
      <c r="F42" t="s">
        <v>7</v>
      </c>
      <c r="G42" t="s">
        <v>50</v>
      </c>
      <c r="H42">
        <v>30</v>
      </c>
      <c r="I42">
        <v>30000</v>
      </c>
      <c r="J42">
        <v>15000</v>
      </c>
      <c r="K42">
        <v>900</v>
      </c>
      <c r="L42">
        <f>Table1[[#This Row],[Sales]]-Table1[[#This Row],[Cost]]</f>
        <v>15000</v>
      </c>
      <c r="M42">
        <f>Table1[[#This Row],[PROFIT]]/Table1[[#This Row],[Sales]]*100</f>
        <v>50</v>
      </c>
      <c r="N42">
        <f>Table1[[#This Row],[Sales]]/Table1[[#This Row],[Quantity]]</f>
        <v>1000</v>
      </c>
      <c r="O42" s="7" t="str">
        <f>TEXT(Table1[[#This Row],[Order Date]],"MMM")</f>
        <v>Apr</v>
      </c>
    </row>
    <row r="43" spans="1:15">
      <c r="A43" t="s">
        <v>102</v>
      </c>
      <c r="B43" s="3">
        <v>46132</v>
      </c>
      <c r="C43" t="s">
        <v>69</v>
      </c>
      <c r="D43" t="s">
        <v>23</v>
      </c>
      <c r="E43" t="s">
        <v>70</v>
      </c>
      <c r="F43" t="s">
        <v>2</v>
      </c>
      <c r="G43" t="s">
        <v>50</v>
      </c>
      <c r="H43">
        <v>1</v>
      </c>
      <c r="I43">
        <v>64000</v>
      </c>
      <c r="J43">
        <v>47000</v>
      </c>
      <c r="K43">
        <v>1800</v>
      </c>
      <c r="L43">
        <f>Table1[[#This Row],[Sales]]-Table1[[#This Row],[Cost]]</f>
        <v>17000</v>
      </c>
      <c r="M43">
        <f>Table1[[#This Row],[PROFIT]]/Table1[[#This Row],[Sales]]*100</f>
        <v>26.5625</v>
      </c>
      <c r="N43">
        <f>Table1[[#This Row],[Sales]]/Table1[[#This Row],[Quantity]]</f>
        <v>64000</v>
      </c>
      <c r="O43" s="7" t="str">
        <f>TEXT(Table1[[#This Row],[Order Date]],"MMM")</f>
        <v>Apr</v>
      </c>
    </row>
    <row r="44" spans="1:15">
      <c r="A44" t="s">
        <v>103</v>
      </c>
      <c r="B44" s="3">
        <v>46135</v>
      </c>
      <c r="C44" t="s">
        <v>72</v>
      </c>
      <c r="D44" t="s">
        <v>26</v>
      </c>
      <c r="E44" t="s">
        <v>57</v>
      </c>
      <c r="F44" t="s">
        <v>3</v>
      </c>
      <c r="G44" t="s">
        <v>50</v>
      </c>
      <c r="H44">
        <v>7</v>
      </c>
      <c r="I44">
        <v>105000</v>
      </c>
      <c r="J44">
        <v>73500</v>
      </c>
      <c r="K44">
        <v>2800</v>
      </c>
      <c r="L44">
        <f>Table1[[#This Row],[Sales]]-Table1[[#This Row],[Cost]]</f>
        <v>31500</v>
      </c>
      <c r="M44">
        <f>Table1[[#This Row],[PROFIT]]/Table1[[#This Row],[Sales]]*100</f>
        <v>30</v>
      </c>
      <c r="N44">
        <f>Table1[[#This Row],[Sales]]/Table1[[#This Row],[Quantity]]</f>
        <v>15000</v>
      </c>
      <c r="O44" s="7" t="str">
        <f>TEXT(Table1[[#This Row],[Order Date]],"MMM")</f>
        <v>Apr</v>
      </c>
    </row>
    <row r="45" spans="1:15">
      <c r="A45" t="s">
        <v>104</v>
      </c>
      <c r="B45" s="3">
        <v>46138</v>
      </c>
      <c r="C45" t="s">
        <v>74</v>
      </c>
      <c r="D45" t="s">
        <v>25</v>
      </c>
      <c r="E45" t="s">
        <v>60</v>
      </c>
      <c r="F45" t="s">
        <v>4</v>
      </c>
      <c r="G45" t="s">
        <v>54</v>
      </c>
      <c r="H45">
        <v>9</v>
      </c>
      <c r="I45">
        <v>81000</v>
      </c>
      <c r="J45">
        <v>54000</v>
      </c>
      <c r="K45">
        <v>2700</v>
      </c>
      <c r="L45">
        <f>Table1[[#This Row],[Sales]]-Table1[[#This Row],[Cost]]</f>
        <v>27000</v>
      </c>
      <c r="M45">
        <f>Table1[[#This Row],[PROFIT]]/Table1[[#This Row],[Sales]]*100</f>
        <v>33.333333333333329</v>
      </c>
      <c r="N45">
        <f>Table1[[#This Row],[Sales]]/Table1[[#This Row],[Quantity]]</f>
        <v>9000</v>
      </c>
      <c r="O45" s="7" t="str">
        <f>TEXT(Table1[[#This Row],[Order Date]],"MMM")</f>
        <v>Apr</v>
      </c>
    </row>
    <row r="46" spans="1:15">
      <c r="A46" t="s">
        <v>105</v>
      </c>
      <c r="B46" s="3">
        <v>46141</v>
      </c>
      <c r="C46" t="s">
        <v>48</v>
      </c>
      <c r="D46" t="s">
        <v>24</v>
      </c>
      <c r="E46" t="s">
        <v>49</v>
      </c>
      <c r="F46" t="s">
        <v>5</v>
      </c>
      <c r="G46" t="s">
        <v>54</v>
      </c>
      <c r="H46">
        <v>3</v>
      </c>
      <c r="I46">
        <v>36000</v>
      </c>
      <c r="J46">
        <v>24000</v>
      </c>
      <c r="K46">
        <v>1200</v>
      </c>
      <c r="L46">
        <f>Table1[[#This Row],[Sales]]-Table1[[#This Row],[Cost]]</f>
        <v>12000</v>
      </c>
      <c r="M46">
        <f>Table1[[#This Row],[PROFIT]]/Table1[[#This Row],[Sales]]*100</f>
        <v>33.333333333333329</v>
      </c>
      <c r="N46">
        <f>Table1[[#This Row],[Sales]]/Table1[[#This Row],[Quantity]]</f>
        <v>12000</v>
      </c>
      <c r="O46" s="7" t="str">
        <f>TEXT(Table1[[#This Row],[Order Date]],"MMM")</f>
        <v>Apr</v>
      </c>
    </row>
    <row r="47" spans="1:15">
      <c r="A47" t="s">
        <v>106</v>
      </c>
      <c r="B47" s="3">
        <v>46144</v>
      </c>
      <c r="C47" t="s">
        <v>52</v>
      </c>
      <c r="D47" t="s">
        <v>25</v>
      </c>
      <c r="E47" t="s">
        <v>53</v>
      </c>
      <c r="F47" t="s">
        <v>2</v>
      </c>
      <c r="G47" t="s">
        <v>50</v>
      </c>
      <c r="H47">
        <v>2</v>
      </c>
      <c r="I47">
        <v>132000</v>
      </c>
      <c r="J47">
        <v>97000</v>
      </c>
      <c r="K47">
        <v>3600</v>
      </c>
      <c r="L47">
        <f>Table1[[#This Row],[Sales]]-Table1[[#This Row],[Cost]]</f>
        <v>35000</v>
      </c>
      <c r="M47">
        <f>Table1[[#This Row],[PROFIT]]/Table1[[#This Row],[Sales]]*100</f>
        <v>26.515151515151516</v>
      </c>
      <c r="N47">
        <f>Table1[[#This Row],[Sales]]/Table1[[#This Row],[Quantity]]</f>
        <v>66000</v>
      </c>
      <c r="O47" s="7" t="str">
        <f>TEXT(Table1[[#This Row],[Order Date]],"MMM")</f>
        <v>May</v>
      </c>
    </row>
    <row r="48" spans="1:15">
      <c r="A48" t="s">
        <v>107</v>
      </c>
      <c r="B48" s="3">
        <v>46147</v>
      </c>
      <c r="C48" t="s">
        <v>56</v>
      </c>
      <c r="D48" t="s">
        <v>26</v>
      </c>
      <c r="E48" t="s">
        <v>65</v>
      </c>
      <c r="F48" t="s">
        <v>7</v>
      </c>
      <c r="G48" t="s">
        <v>50</v>
      </c>
      <c r="H48">
        <v>22</v>
      </c>
      <c r="I48">
        <v>22000</v>
      </c>
      <c r="J48">
        <v>11000</v>
      </c>
      <c r="K48">
        <v>700</v>
      </c>
      <c r="L48">
        <f>Table1[[#This Row],[Sales]]-Table1[[#This Row],[Cost]]</f>
        <v>11000</v>
      </c>
      <c r="M48">
        <f>Table1[[#This Row],[PROFIT]]/Table1[[#This Row],[Sales]]*100</f>
        <v>50</v>
      </c>
      <c r="N48">
        <f>Table1[[#This Row],[Sales]]/Table1[[#This Row],[Quantity]]</f>
        <v>1000</v>
      </c>
      <c r="O48" s="7" t="str">
        <f>TEXT(Table1[[#This Row],[Order Date]],"MMM")</f>
        <v>May</v>
      </c>
    </row>
    <row r="49" spans="1:15">
      <c r="A49" t="s">
        <v>108</v>
      </c>
      <c r="B49" s="3">
        <v>46150</v>
      </c>
      <c r="C49" t="s">
        <v>59</v>
      </c>
      <c r="D49" t="s">
        <v>23</v>
      </c>
      <c r="E49" t="s">
        <v>70</v>
      </c>
      <c r="F49" t="s">
        <v>6</v>
      </c>
      <c r="G49" t="s">
        <v>50</v>
      </c>
      <c r="H49">
        <v>10</v>
      </c>
      <c r="I49">
        <v>25000</v>
      </c>
      <c r="J49">
        <v>15000</v>
      </c>
      <c r="K49">
        <v>800</v>
      </c>
      <c r="L49">
        <f>Table1[[#This Row],[Sales]]-Table1[[#This Row],[Cost]]</f>
        <v>10000</v>
      </c>
      <c r="M49">
        <f>Table1[[#This Row],[PROFIT]]/Table1[[#This Row],[Sales]]*100</f>
        <v>40</v>
      </c>
      <c r="N49">
        <f>Table1[[#This Row],[Sales]]/Table1[[#This Row],[Quantity]]</f>
        <v>2500</v>
      </c>
      <c r="O49" s="7" t="str">
        <f>TEXT(Table1[[#This Row],[Order Date]],"MMM")</f>
        <v>May</v>
      </c>
    </row>
    <row r="50" spans="1:15">
      <c r="A50" t="s">
        <v>109</v>
      </c>
      <c r="B50" s="3">
        <v>46153</v>
      </c>
      <c r="C50" t="s">
        <v>62</v>
      </c>
      <c r="D50" t="s">
        <v>24</v>
      </c>
      <c r="E50" t="s">
        <v>49</v>
      </c>
      <c r="F50" t="s">
        <v>3</v>
      </c>
      <c r="G50" t="s">
        <v>50</v>
      </c>
      <c r="H50">
        <v>5</v>
      </c>
      <c r="I50">
        <v>75000</v>
      </c>
      <c r="J50">
        <v>52500</v>
      </c>
      <c r="K50">
        <v>2200</v>
      </c>
      <c r="L50">
        <f>Table1[[#This Row],[Sales]]-Table1[[#This Row],[Cost]]</f>
        <v>22500</v>
      </c>
      <c r="M50">
        <f>Table1[[#This Row],[PROFIT]]/Table1[[#This Row],[Sales]]*100</f>
        <v>30</v>
      </c>
      <c r="N50">
        <f>Table1[[#This Row],[Sales]]/Table1[[#This Row],[Quantity]]</f>
        <v>15000</v>
      </c>
      <c r="O50" s="7" t="str">
        <f>TEXT(Table1[[#This Row],[Order Date]],"MMM")</f>
        <v>May</v>
      </c>
    </row>
    <row r="51" spans="1:15">
      <c r="A51" t="s">
        <v>110</v>
      </c>
      <c r="B51" s="3">
        <v>46156</v>
      </c>
      <c r="C51" t="s">
        <v>64</v>
      </c>
      <c r="D51" t="s">
        <v>25</v>
      </c>
      <c r="E51" t="s">
        <v>60</v>
      </c>
      <c r="F51" t="s">
        <v>5</v>
      </c>
      <c r="G51" t="s">
        <v>54</v>
      </c>
      <c r="H51">
        <v>4</v>
      </c>
      <c r="I51">
        <v>48000</v>
      </c>
      <c r="J51">
        <v>32000</v>
      </c>
      <c r="K51">
        <v>1600</v>
      </c>
      <c r="L51">
        <f>Table1[[#This Row],[Sales]]-Table1[[#This Row],[Cost]]</f>
        <v>16000</v>
      </c>
      <c r="M51">
        <f>Table1[[#This Row],[PROFIT]]/Table1[[#This Row],[Sales]]*100</f>
        <v>33.333333333333329</v>
      </c>
      <c r="N51">
        <f>Table1[[#This Row],[Sales]]/Table1[[#This Row],[Quantity]]</f>
        <v>12000</v>
      </c>
      <c r="O51" s="7" t="str">
        <f>TEXT(Table1[[#This Row],[Order Date]],"MMM")</f>
        <v>May</v>
      </c>
    </row>
    <row r="52" spans="1:15">
      <c r="A52" t="s">
        <v>111</v>
      </c>
      <c r="B52" s="3">
        <v>46159</v>
      </c>
      <c r="C52" t="s">
        <v>67</v>
      </c>
      <c r="D52" t="s">
        <v>26</v>
      </c>
      <c r="E52" t="s">
        <v>57</v>
      </c>
      <c r="F52" t="s">
        <v>4</v>
      </c>
      <c r="G52" t="s">
        <v>54</v>
      </c>
      <c r="H52">
        <v>6</v>
      </c>
      <c r="I52">
        <v>54000</v>
      </c>
      <c r="J52">
        <v>36000</v>
      </c>
      <c r="K52">
        <v>1800</v>
      </c>
      <c r="L52">
        <f>Table1[[#This Row],[Sales]]-Table1[[#This Row],[Cost]]</f>
        <v>18000</v>
      </c>
      <c r="M52">
        <f>Table1[[#This Row],[PROFIT]]/Table1[[#This Row],[Sales]]*100</f>
        <v>33.333333333333329</v>
      </c>
      <c r="N52">
        <f>Table1[[#This Row],[Sales]]/Table1[[#This Row],[Quantity]]</f>
        <v>9000</v>
      </c>
      <c r="O52" s="7" t="str">
        <f>TEXT(Table1[[#This Row],[Order Date]],"MMM")</f>
        <v>May</v>
      </c>
    </row>
    <row r="53" spans="1:15">
      <c r="A53" t="s">
        <v>112</v>
      </c>
      <c r="B53" s="3">
        <v>46162</v>
      </c>
      <c r="C53" t="s">
        <v>69</v>
      </c>
      <c r="D53" t="s">
        <v>23</v>
      </c>
      <c r="E53" t="s">
        <v>70</v>
      </c>
      <c r="F53" t="s">
        <v>2</v>
      </c>
      <c r="G53" t="s">
        <v>50</v>
      </c>
      <c r="H53">
        <v>2</v>
      </c>
      <c r="I53">
        <v>128000</v>
      </c>
      <c r="J53">
        <v>94000</v>
      </c>
      <c r="K53">
        <v>3500</v>
      </c>
      <c r="L53">
        <f>Table1[[#This Row],[Sales]]-Table1[[#This Row],[Cost]]</f>
        <v>34000</v>
      </c>
      <c r="M53">
        <f>Table1[[#This Row],[PROFIT]]/Table1[[#This Row],[Sales]]*100</f>
        <v>26.5625</v>
      </c>
      <c r="N53">
        <f>Table1[[#This Row],[Sales]]/Table1[[#This Row],[Quantity]]</f>
        <v>64000</v>
      </c>
      <c r="O53" s="7" t="str">
        <f>TEXT(Table1[[#This Row],[Order Date]],"MMM")</f>
        <v>May</v>
      </c>
    </row>
    <row r="54" spans="1:15">
      <c r="A54" t="s">
        <v>113</v>
      </c>
      <c r="B54" s="3">
        <v>46165</v>
      </c>
      <c r="C54" t="s">
        <v>72</v>
      </c>
      <c r="D54" t="s">
        <v>24</v>
      </c>
      <c r="E54" t="s">
        <v>49</v>
      </c>
      <c r="F54" t="s">
        <v>6</v>
      </c>
      <c r="G54" t="s">
        <v>50</v>
      </c>
      <c r="H54">
        <v>14</v>
      </c>
      <c r="I54">
        <v>35000</v>
      </c>
      <c r="J54">
        <v>21000</v>
      </c>
      <c r="K54">
        <v>1000</v>
      </c>
      <c r="L54">
        <f>Table1[[#This Row],[Sales]]-Table1[[#This Row],[Cost]]</f>
        <v>14000</v>
      </c>
      <c r="M54">
        <f>Table1[[#This Row],[PROFIT]]/Table1[[#This Row],[Sales]]*100</f>
        <v>40</v>
      </c>
      <c r="N54">
        <f>Table1[[#This Row],[Sales]]/Table1[[#This Row],[Quantity]]</f>
        <v>2500</v>
      </c>
      <c r="O54" s="7" t="str">
        <f>TEXT(Table1[[#This Row],[Order Date]],"MMM")</f>
        <v>May</v>
      </c>
    </row>
    <row r="55" spans="1:15">
      <c r="A55" t="s">
        <v>114</v>
      </c>
      <c r="B55" s="3">
        <v>46168</v>
      </c>
      <c r="C55" t="s">
        <v>74</v>
      </c>
      <c r="D55" t="s">
        <v>25</v>
      </c>
      <c r="E55" t="s">
        <v>53</v>
      </c>
      <c r="F55" t="s">
        <v>3</v>
      </c>
      <c r="G55" t="s">
        <v>50</v>
      </c>
      <c r="H55">
        <v>3</v>
      </c>
      <c r="I55">
        <v>45000</v>
      </c>
      <c r="J55">
        <v>31500</v>
      </c>
      <c r="K55">
        <v>1500</v>
      </c>
      <c r="L55">
        <f>Table1[[#This Row],[Sales]]-Table1[[#This Row],[Cost]]</f>
        <v>13500</v>
      </c>
      <c r="M55">
        <f>Table1[[#This Row],[PROFIT]]/Table1[[#This Row],[Sales]]*100</f>
        <v>30</v>
      </c>
      <c r="N55">
        <f>Table1[[#This Row],[Sales]]/Table1[[#This Row],[Quantity]]</f>
        <v>15000</v>
      </c>
      <c r="O55" s="7" t="str">
        <f>TEXT(Table1[[#This Row],[Order Date]],"MMM")</f>
        <v>May</v>
      </c>
    </row>
    <row r="56" spans="1:15">
      <c r="B56" s="3"/>
      <c r="I56">
        <f>SUM(I6:I55)</f>
        <v>2905500</v>
      </c>
      <c r="J56">
        <f>SUM(J6:J55)</f>
        <v>1998000</v>
      </c>
      <c r="L56" s="4">
        <f>SUM(Table1[PROFIT])</f>
        <v>907500</v>
      </c>
      <c r="M56" s="5">
        <f>(Table1[[#Totals],[PROFIT]]/Table1[[#Totals],[Sales]])*100</f>
        <v>31.233866804336603</v>
      </c>
      <c r="N56">
        <f>Table1[[#Totals],[Sales]]/50</f>
        <v>58110</v>
      </c>
    </row>
    <row r="57" spans="1:15">
      <c r="C57">
        <f>COUNTBLANK(Table1[#All])</f>
        <v>10</v>
      </c>
    </row>
    <row r="58" spans="1:15">
      <c r="N58" t="s">
        <v>115</v>
      </c>
    </row>
  </sheetData>
  <mergeCells count="1">
    <mergeCell ref="A1:M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2026-08-29T13:25:33Z</dcterms:created>
  <dcterms:modified xsi:type="dcterms:W3CDTF">2026-09-26T07:33:53Z</dcterms:modified>
  <cp:category/>
  <cp:contentStatus/>
</cp:coreProperties>
</file>